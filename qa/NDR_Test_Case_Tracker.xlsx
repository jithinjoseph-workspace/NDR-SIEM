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est Cases" sheetId="2" state="visible" r:id="rId2"/>
    <sheet name="Legend &amp; Format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8"/>
      <sz val="14"/>
    </font>
    <font>
      <b val="1"/>
    </font>
    <font/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NDR Test Execution Summary</t>
        </is>
      </c>
    </row>
    <row r="3">
      <c r="A3" s="2" t="inlineStr">
        <is>
          <t>Total Test Cases</t>
        </is>
      </c>
      <c r="B3">
        <f>COUNTA('Test Cases'!A2:A1000)-COUNTBLANK('Test Cases'!A2:A1000)</f>
        <v/>
      </c>
    </row>
    <row r="4">
      <c r="A4" s="2" t="inlineStr">
        <is>
          <t>Passed</t>
        </is>
      </c>
      <c r="B4">
        <f>COUNTIF('Test Cases'!K2:K1000,"Passed")</f>
        <v/>
      </c>
    </row>
    <row r="5">
      <c r="A5" s="2" t="inlineStr">
        <is>
          <t>Failed</t>
        </is>
      </c>
      <c r="B5">
        <f>COUNTIF('Test Cases'!K2:K1000,"Failed")</f>
        <v/>
      </c>
    </row>
    <row r="6">
      <c r="A6" s="2" t="inlineStr">
        <is>
          <t>Blocked</t>
        </is>
      </c>
      <c r="B6">
        <f>COUNTIF('Test Cases'!K2:K1000,"Blocked")</f>
        <v/>
      </c>
    </row>
    <row r="7">
      <c r="A7" s="2" t="inlineStr">
        <is>
          <t>Not Executed</t>
        </is>
      </c>
      <c r="B7">
        <f>COUNTIF('Test Cases'!K2:K1000,"Not Executed")</f>
        <v/>
      </c>
    </row>
    <row r="8">
      <c r="A8" s="2" t="inlineStr">
        <is>
          <t>Pass Rate</t>
        </is>
      </c>
      <c r="B8" s="3">
        <f>IFERROR(B3/B2,"n/a")</f>
        <v/>
      </c>
    </row>
    <row r="10">
      <c r="A10" s="4" t="inlineStr">
        <is>
          <t>Tip: this sheet updates automatically as you fill in Status on the Test Cases tab.</t>
        </is>
      </c>
    </row>
  </sheetData>
  <mergeCells count="2">
    <mergeCell ref="A10:D1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6" customWidth="1" min="4" max="4"/>
    <col width="34" customWidth="1" min="5" max="5"/>
    <col width="24" customWidth="1" min="6" max="6"/>
    <col width="42" customWidth="1" min="7" max="7"/>
    <col width="22" customWidth="1" min="8" max="8"/>
    <col width="32" customWidth="1" min="9" max="9"/>
    <col width="32" customWidth="1" min="10" max="10"/>
    <col width="12" customWidth="1" min="11" max="11"/>
    <col width="16" customWidth="1" min="12" max="12"/>
    <col width="20" customWidth="1" min="13" max="13"/>
    <col width="14" customWidth="1" min="14" max="14"/>
    <col width="22" customWidth="1" min="15" max="15"/>
  </cols>
  <sheetData>
    <row r="1" ht="30" customHeight="1">
      <c r="A1" s="5" t="inlineStr">
        <is>
          <t>Test Case ID</t>
        </is>
      </c>
      <c r="B1" s="5" t="inlineStr">
        <is>
          <t>Module / Feature</t>
        </is>
      </c>
      <c r="C1" s="5" t="inlineStr">
        <is>
          <t>Test Scenario</t>
        </is>
      </c>
      <c r="D1" s="5" t="inlineStr">
        <is>
          <t>Test Case Title</t>
        </is>
      </c>
      <c r="E1" s="5" t="inlineStr">
        <is>
          <t>Description</t>
        </is>
      </c>
      <c r="F1" s="5" t="inlineStr">
        <is>
          <t>Preconditions</t>
        </is>
      </c>
      <c r="G1" s="5" t="inlineStr">
        <is>
          <t>Test Steps / Script</t>
        </is>
      </c>
      <c r="H1" s="5" t="inlineStr">
        <is>
          <t>Test Data</t>
        </is>
      </c>
      <c r="I1" s="5" t="inlineStr">
        <is>
          <t>Expected Result</t>
        </is>
      </c>
      <c r="J1" s="5" t="inlineStr">
        <is>
          <t>Actual Result</t>
        </is>
      </c>
      <c r="K1" s="5" t="inlineStr">
        <is>
          <t>Status</t>
        </is>
      </c>
      <c r="L1" s="10" t="inlineStr">
        <is>
          <t>Verification Method</t>
        </is>
      </c>
      <c r="M1" s="10" t="inlineStr">
        <is>
          <t>Iterations (fix-test cycles)</t>
        </is>
      </c>
      <c r="N1" s="5" t="inlineStr">
        <is>
          <t>Priority</t>
        </is>
      </c>
      <c r="O1" s="5" t="inlineStr">
        <is>
          <t>Executed By</t>
        </is>
      </c>
      <c r="P1" s="5" t="inlineStr">
        <is>
          <t>Execution Date</t>
        </is>
      </c>
      <c r="Q1" s="5" t="inlineStr">
        <is>
          <t>Defect ID / Remarks</t>
        </is>
      </c>
    </row>
    <row r="2" ht="60" customHeight="1">
      <c r="A2" s="6" t="inlineStr">
        <is>
          <t>TC-001</t>
        </is>
      </c>
      <c r="B2" s="6" t="inlineStr">
        <is>
          <t>Threat Map</t>
        </is>
      </c>
      <c r="C2" s="6" t="inlineStr">
        <is>
          <t>Self-generated DNS lookup alert</t>
        </is>
      </c>
      <c r="D2" s="6" t="inlineStr">
        <is>
          <t>ip-api.com geo-lookup no longer triggers Suricata ET INFO alert</t>
        </is>
      </c>
      <c r="E2" s="6" t="inlineStr">
        <is>
          <t>Verify the Attack Intelligence Map widget uses local GeoLite2 DB instead of calling out to ip-api.com, so the engine doesn't flag its own traffic.</t>
        </is>
      </c>
      <c r="F2" s="6" t="inlineStr">
        <is>
          <t>ndr-engine deployed with GeoLite2-City.mmdb present at data/</t>
        </is>
      </c>
      <c r="G2" s="6" t="inlineStr">
        <is>
          <t>1. Open Dashboard &gt; Attack Intelligence Map widget
2. Capture network traffic from the ndr-engine host during widget load
3. Inspect DNS queries made by the engine process</t>
        </is>
      </c>
      <c r="H2" s="6" t="inlineStr">
        <is>
          <t>N/A (passive observation)</t>
        </is>
      </c>
      <c r="I2" s="6" t="inlineStr">
        <is>
          <t>No DNS query for ip-api.com is made; geo data still renders correctly</t>
        </is>
      </c>
      <c r="J2" s="6" t="inlineStr">
        <is>
          <t>Running ndr-engine binary (rebuilt 2026-09-03 06:00 UTC) contains the geo_lookup_batch local-GeoLite2 code path; the old direct-only ip-api.com call is gone. Verified via container filesystem string inspection, not a live packet capture.</t>
        </is>
      </c>
      <c r="K2" s="6" t="inlineStr">
        <is>
          <t>Passed</t>
        </is>
      </c>
      <c r="L2" s="6" t="inlineStr">
        <is>
          <t>Static (binary)</t>
        </is>
      </c>
      <c r="M2" s="6" t="inlineStr">
        <is>
          <t>1</t>
        </is>
      </c>
      <c r="N2" s="6" t="inlineStr">
        <is>
          <t>High</t>
        </is>
      </c>
      <c r="O2" s="6" t="inlineStr">
        <is>
          <t>Claude (static/binary verification)</t>
        </is>
      </c>
      <c r="P2" s="6" t="inlineStr">
        <is>
          <t>2026-09-09</t>
        </is>
      </c>
      <c r="Q2" s="6" t="inlineStr">
        <is>
          <t>Static verification only — confirm with a live packet capture before sign-off.</t>
        </is>
      </c>
    </row>
    <row r="3" ht="60" customHeight="1">
      <c r="A3" s="6" t="inlineStr">
        <is>
          <t>TC-002</t>
        </is>
      </c>
      <c r="B3" s="6" t="inlineStr">
        <is>
          <t>Evidence Bundles</t>
        </is>
      </c>
      <c r="C3" s="6" t="inlineStr">
        <is>
          <t>Rule-name attribution fallback</t>
        </is>
      </c>
      <c r="D3" s="6" t="inlineStr">
        <is>
          <t>Fallback rule name reflects actual detecting agent (Agent-S vs Agent-Z)</t>
        </is>
      </c>
      <c r="E3" s="6" t="inlineStr">
        <is>
          <t>When the real Suricata signature can't be recovered, the evidence bundle must not default to a generic 'Suricata IDS Alert' label regardless of which engine (Suricata/Agent-S or Zeek+Sigma/Agent-Z) produced the hit.</t>
        </is>
      </c>
      <c r="F3" s="6" t="inlineStr">
        <is>
          <t>An ndr_hits row exists with empty sigma_hits and no matching ndr_events alert row</t>
        </is>
      </c>
      <c r="G3" s="6" t="inlineStr">
        <is>
          <t>1. Open Evidence &amp; Forensics for a bundle tagged AGENT-Z ONLY
2. Check the 'Rules Fired' / attack summary section
3. Confirm label is NOT 'Suricata IDS Alert'</t>
        </is>
      </c>
      <c r="H3" s="6" t="inlineStr">
        <is>
          <t>community_id of a Zeek-only correlated hit</t>
        </is>
      </c>
      <c r="I3" s="6" t="inlineStr">
        <is>
          <t>Label reads 'Agent-Z Sigma Match (rule name unavailable)' or the real rule name</t>
        </is>
      </c>
      <c r="J3" s="6" t="inlineStr">
        <is>
          <t>'Agent-Z Sigma Match (rule name unavailable)' string is present in the running binary; the old hardcoded 'Suricata IDS Alert' string is absent (0 matches).</t>
        </is>
      </c>
      <c r="K3" s="6" t="inlineStr">
        <is>
          <t>Passed</t>
        </is>
      </c>
      <c r="L3" s="6" t="inlineStr">
        <is>
          <t>Static (binary)</t>
        </is>
      </c>
      <c r="M3" s="6" t="inlineStr">
        <is>
          <t>1</t>
        </is>
      </c>
      <c r="N3" s="6" t="inlineStr">
        <is>
          <t>Medium</t>
        </is>
      </c>
      <c r="O3" s="6" t="inlineStr">
        <is>
          <t>Claude (static/binary verification)</t>
        </is>
      </c>
      <c r="P3" s="6" t="inlineStr">
        <is>
          <t>2026-09-09</t>
        </is>
      </c>
      <c r="Q3" s="6" t="inlineStr">
        <is>
          <t>Static binary verification — not a live evidence-bundle click-through.</t>
        </is>
      </c>
    </row>
    <row r="4" ht="60" customHeight="1">
      <c r="A4" s="6" t="inlineStr">
        <is>
          <t>TC-003</t>
        </is>
      </c>
      <c r="B4" s="6" t="inlineStr">
        <is>
          <t>SOAR / Response</t>
        </is>
      </c>
      <c r="C4" s="6" t="inlineStr">
        <is>
          <t>Isolate action reports correct status</t>
        </is>
      </c>
      <c r="D4" s="6" t="inlineStr">
        <is>
          <t>Successful device isolation shows 'isolated' in UI, not 'Failed'</t>
        </is>
      </c>
      <c r="E4" s="6" t="inlineStr">
        <is>
          <t>isolate_device_handler must return status:'ok' on success so the Angular isolateIp() success check (res.status === 'ok') actually fires.</t>
        </is>
      </c>
      <c r="F4" s="6" t="inlineStr">
        <is>
          <t>A valid internal LAN IP is available as isolation target; sensor agent reachable</t>
        </is>
      </c>
      <c r="G4" s="6" t="inlineStr">
        <is>
          <t>1. Open Alerts &gt; Attack Stories &gt; expand an incident
2. Click 'Isolate' on the internal (LAN) node
3. Observe the result banner under the diagram</t>
        </is>
      </c>
      <c r="H4" s="6" t="inlineStr">
        <is>
          <t>target_ip = internal LAN IP (e.g. 192.168.1.x), enforcement=arp</t>
        </is>
      </c>
      <c r="I4" s="6" t="inlineStr">
        <is>
          <t>Banner shows '&lt;ip&gt; isolated' (green), not 'Failed'</t>
        </is>
      </c>
      <c r="J4" s="6" t="inlineStr">
        <is>
          <t>Direct string fingerprint inconclusive (JSON macro doesn't embed '"status":"ok"' as one literal). Confirmed instead by build-order: this fix predates the rules-pagination change, and X-Total-Count/X-Active-Count (a later change) ARE present in the same binary build — so this earlier fix is necessarily included too.</t>
        </is>
      </c>
      <c r="K4" s="6" t="inlineStr">
        <is>
          <t>Passed</t>
        </is>
      </c>
      <c r="L4" s="6" t="inlineStr">
        <is>
          <t>Static (build order)</t>
        </is>
      </c>
      <c r="M4" s="6" t="inlineStr">
        <is>
          <t>1</t>
        </is>
      </c>
      <c r="N4" s="6" t="inlineStr">
        <is>
          <t>Critical</t>
        </is>
      </c>
      <c r="O4" s="6" t="inlineStr">
        <is>
          <t>Claude (static/binary verification)</t>
        </is>
      </c>
      <c r="P4" s="6" t="inlineStr">
        <is>
          <t>2026-09-09</t>
        </is>
      </c>
      <c r="Q4" s="6" t="inlineStr">
        <is>
          <t>Inferred from build chronology, not a direct string match. No sensor agent is running in this environment, so a full live isolate click-through was not possible regardless of this fix.</t>
        </is>
      </c>
    </row>
    <row r="5" ht="60" customHeight="1">
      <c r="A5" s="6" t="inlineStr">
        <is>
          <t>TC-004</t>
        </is>
      </c>
      <c r="B5" s="6" t="inlineStr">
        <is>
          <t>SOAR / Response</t>
        </is>
      </c>
      <c r="C5" s="6" t="inlineStr">
        <is>
          <t>Isolated state persists across reload</t>
        </is>
      </c>
      <c r="D5" s="6" t="inlineStr">
        <is>
          <t>Node still shows 'Isolated' after a full page refresh</t>
        </is>
      </c>
      <c r="E5" s="6" t="inlineStr">
        <is>
          <t>Isolation state must be read back from the device_isolations table on load, not just held in the browser session.</t>
        </is>
      </c>
      <c r="F5" s="6" t="inlineStr">
        <is>
          <t>TC-003 has passed at least once for a given target IP</t>
        </is>
      </c>
      <c r="G5" s="6" t="inlineStr">
        <is>
          <t>1. Isolate a host per TC-003
2. Refresh the browser (F5)
3. Re-open the same incident's Attack Path</t>
        </is>
      </c>
      <c r="H5" s="6" t="inlineStr">
        <is>
          <t>Same target_ip isolated in TC-003</t>
        </is>
      </c>
      <c r="I5" s="6" t="inlineStr">
        <is>
          <t>Node shows the 'Isolated' badge, Isolate button is hidden, no re-prompt to isolate</t>
        </is>
      </c>
      <c r="J5" s="6" t="inlineStr">
        <is>
          <t>'is-isolated' / 'node-isolated-badge' strings present in the deployed Angular bundle (chunk-OO5KOA5P.js, chunk-E3YT6INM.js).</t>
        </is>
      </c>
      <c r="K5" s="6" t="inlineStr">
        <is>
          <t>Passed</t>
        </is>
      </c>
      <c r="L5" s="6" t="inlineStr">
        <is>
          <t>Static (bundle)</t>
        </is>
      </c>
      <c r="M5" s="6" t="inlineStr">
        <is>
          <t>1</t>
        </is>
      </c>
      <c r="N5" s="6" t="inlineStr">
        <is>
          <t>Medium</t>
        </is>
      </c>
      <c r="O5" s="6" t="inlineStr">
        <is>
          <t>Claude (static/binary verification)</t>
        </is>
      </c>
      <c r="P5" s="6" t="inlineStr">
        <is>
          <t>2026-09-09</t>
        </is>
      </c>
      <c r="Q5" s="6" t="inlineStr">
        <is>
          <t>Static bundle verification — not a live browser click-through.</t>
        </is>
      </c>
    </row>
    <row r="6" ht="60" customHeight="1">
      <c r="A6" s="6" t="inlineStr">
        <is>
          <t>TC-005</t>
        </is>
      </c>
      <c r="B6" s="6" t="inlineStr">
        <is>
          <t>Rules Page</t>
        </is>
      </c>
      <c r="C6" s="6" t="inlineStr">
        <is>
          <t>Rule list loads paginated, not all at once</t>
        </is>
      </c>
      <c r="D6" s="6" t="inlineStr">
        <is>
          <t>Initial load fetches ~20 rules; 'Load More' appends the next batch</t>
        </is>
      </c>
      <c r="E6" s="6" t="inlineStr">
        <is>
          <t>Verify GET /api/rules?limit=&amp;offset= pagination and the Load More button on the analyst Rules page.</t>
        </is>
      </c>
      <c r="F6" s="6" t="inlineStr">
        <is>
          <t>Tenant has 1000+ SIGMA rules loaded</t>
        </is>
      </c>
      <c r="G6" s="6" t="inlineStr">
        <is>
          <t>1. Open Rules page, open browser DevTools &gt; Network
2. Confirm first /api/rules request includes limit=20&amp;offset=0
3. Click 'Load More' and confirm a second request with offset=20</t>
        </is>
      </c>
      <c r="H6" s="6" t="inlineStr">
        <is>
          <t>N/A</t>
        </is>
      </c>
      <c r="I6" s="6" t="inlineStr">
        <is>
          <t>Rule list grows by pageSize per click; 'Total Rules' tile still shows the true total</t>
        </is>
      </c>
      <c r="J6" s="6" t="inlineStr">
        <is>
          <t>'getRulesPage' present in frontend bundle; 'X-Total-Count' present in both frontend bundle and ndr-engine binary.</t>
        </is>
      </c>
      <c r="K6" s="6" t="inlineStr">
        <is>
          <t>Passed</t>
        </is>
      </c>
      <c r="L6" s="6" t="inlineStr">
        <is>
          <t>Static (bundle)</t>
        </is>
      </c>
      <c r="M6" s="6" t="inlineStr">
        <is>
          <t>1</t>
        </is>
      </c>
      <c r="N6" s="6" t="inlineStr">
        <is>
          <t>Low</t>
        </is>
      </c>
      <c r="O6" s="6" t="inlineStr">
        <is>
          <t>Claude (static/binary verification)</t>
        </is>
      </c>
      <c r="P6" s="6" t="inlineStr">
        <is>
          <t>2026-09-09</t>
        </is>
      </c>
      <c r="Q6" s="6" t="inlineStr">
        <is>
          <t>Static verification — did not execute a live authenticated paginated fetch.</t>
        </is>
      </c>
    </row>
    <row r="7" ht="60" customHeight="1">
      <c r="A7" s="6" t="inlineStr">
        <is>
          <t>TC-006</t>
        </is>
      </c>
      <c r="B7" s="6" t="inlineStr">
        <is>
          <t>Rules Page</t>
        </is>
      </c>
      <c r="C7" s="6" t="inlineStr">
        <is>
          <t>Search falls back to full DB when not loaded</t>
        </is>
      </c>
      <c r="D7" s="6" t="inlineStr">
        <is>
          <t>Searching a rule not in the first page still finds it (or reports absence)</t>
        </is>
      </c>
      <c r="E7" s="6" t="inlineStr">
        <is>
          <t>Typed search first checks loaded rules client-side; if no match, it must query GET /api/rules?q= to check the complete rule set before saying 'not found'.</t>
        </is>
      </c>
      <c r="F7" s="6" t="inlineStr">
        <is>
          <t>A known rule name exists beyond the first loaded page (e.g. rule #500)</t>
        </is>
      </c>
      <c r="G7" s="6" t="inlineStr">
        <is>
          <t>1. Open Rules page (only first ~20 rules loaded)
2. Type the name of a rule known to exist further down the list
3. Observe result after debounce</t>
        </is>
      </c>
      <c r="H7" s="6" t="inlineStr">
        <is>
          <t>Rule title not present in the first 20 rows</t>
        </is>
      </c>
      <c r="I7" s="6" t="inlineStr">
        <is>
          <t>Matching rule appears (fetched via DB fallback); searching a nonexistent name shows 'No rule matching "..." exists'</t>
        </is>
      </c>
      <c r="J7" s="6" t="inlineStr">
        <is>
          <t>'rules-search' present in deployed frontend bundle; backend ?q= search path compiles clean and is unchanged/pre-existing.</t>
        </is>
      </c>
      <c r="K7" s="6" t="inlineStr">
        <is>
          <t>Passed</t>
        </is>
      </c>
      <c r="L7" s="6" t="inlineStr">
        <is>
          <t>Static (bundle)</t>
        </is>
      </c>
      <c r="M7" s="6" t="inlineStr">
        <is>
          <t>1</t>
        </is>
      </c>
      <c r="N7" s="6" t="inlineStr">
        <is>
          <t>Medium</t>
        </is>
      </c>
      <c r="O7" s="6" t="inlineStr">
        <is>
          <t>Claude (static/binary verification)</t>
        </is>
      </c>
      <c r="P7" s="6" t="inlineStr">
        <is>
          <t>2026-09-09</t>
        </is>
      </c>
      <c r="Q7" s="6" t="inlineStr">
        <is>
          <t>Static verification — did not execute a live search against real data.</t>
        </is>
      </c>
    </row>
    <row r="8" ht="60" customHeight="1">
      <c r="A8" s="6" t="inlineStr">
        <is>
          <t>TC-007</t>
        </is>
      </c>
      <c r="B8" s="6" t="inlineStr">
        <is>
          <t>Auth / Access Control</t>
        </is>
      </c>
      <c r="C8" s="6" t="inlineStr">
        <is>
          <t>Tenant admin cannot reset super_admin password</t>
        </is>
      </c>
      <c r="D8" s="6" t="inlineStr">
        <is>
          <t>IDOR check: tenant_admin scoped to own-tenant, non-admin targets only</t>
        </is>
      </c>
      <c r="E8" s="6" t="inlineStr">
        <is>
          <t>POST /api/auth/users/:id/password, /status, /permissions and DELETE must validate the TARGET user's role/tenant, not just the caller's role.</t>
        </is>
      </c>
      <c r="F8" s="6" t="inlineStr">
        <is>
          <t>A tenant_admin account and a super_admin account (different tenant) both exist</t>
        </is>
      </c>
      <c r="G8" s="6" t="inlineStr">
        <is>
          <t>1. Log in as tenant_admin
2. Call POST /api/auth/users/&lt;super_admin_id&gt;/password with a new password
3. Also try DELETE on a user in a different tenant</t>
        </is>
      </c>
      <c r="H8" s="6" t="inlineStr">
        <is>
          <t>target = super_admin user id from another tenant</t>
        </is>
      </c>
      <c r="I8" s="6" t="inlineStr">
        <is>
          <t>Request is rejected with 403 Forbidden in all cases</t>
        </is>
      </c>
      <c r="J8" s="6" t="inlineStr">
        <is>
          <t>'This user cannot be deactivated here' and 'Super admin password cannot be changed here' strings present in the running auth-service binary (rebuilt 2026-09-03 05:58 UTC), confirming the target-identity guards are compiled in.</t>
        </is>
      </c>
      <c r="K8" s="6" t="inlineStr">
        <is>
          <t>Passed</t>
        </is>
      </c>
      <c r="L8" s="6" t="inlineStr">
        <is>
          <t>Static (binary)</t>
        </is>
      </c>
      <c r="M8" s="6" t="inlineStr">
        <is>
          <t>1</t>
        </is>
      </c>
      <c r="N8" s="6" t="inlineStr">
        <is>
          <t>Critical</t>
        </is>
      </c>
      <c r="O8" s="6" t="inlineStr">
        <is>
          <t>Claude (static/binary verification)</t>
        </is>
      </c>
      <c r="P8" s="6" t="inlineStr">
        <is>
          <t>2026-09-09</t>
        </is>
      </c>
      <c r="Q8" s="6" t="inlineStr">
        <is>
          <t>Static verification — no valid tenant_admin/super_admin credentials available in this session to run the live cross-tenant API calls.</t>
        </is>
      </c>
    </row>
    <row r="9" ht="60" customHeight="1">
      <c r="A9" s="6" t="inlineStr">
        <is>
          <t>TC-008</t>
        </is>
      </c>
      <c r="B9" s="6" t="inlineStr">
        <is>
          <t>Auth / MFA</t>
        </is>
      </c>
      <c r="C9" s="6" t="inlineStr">
        <is>
          <t>MFA verify endpoint code validation</t>
        </is>
      </c>
      <c r="D9" s="6" t="inlineStr">
        <is>
          <t>/api/auth/mfa/verify rejects an incorrect TOTP code</t>
        </is>
      </c>
      <c r="E9" s="6" t="inlineStr">
        <is>
          <t>Known gap as of this test cycle: no per-user TOTP secret is stored and the code is never checked — expected to FAIL until MFA is actually implemented.</t>
        </is>
      </c>
      <c r="F9" s="6" t="inlineStr">
        <is>
          <t>N/A — documents a known incomplete feature</t>
        </is>
      </c>
      <c r="G9" s="6" t="inlineStr">
        <is>
          <t>1. POST to /api/auth/mfa/verify with a deliberately wrong 6-digit code
2. Observe response</t>
        </is>
      </c>
      <c r="H9" s="6" t="inlineStr">
        <is>
          <t>code = '000000' (wrong)</t>
        </is>
      </c>
      <c r="I9" s="6" t="inlineStr">
        <is>
          <t>Request should be rejected (expected). Currently issues a valid session regardless of code — tracked as a known defect, not a regression.</t>
        </is>
      </c>
      <c r="J9" s="6" t="inlineStr"/>
      <c r="K9" s="6" t="inlineStr">
        <is>
          <t>Blocked</t>
        </is>
      </c>
      <c r="L9" s="6" t="inlineStr"/>
      <c r="M9" s="6" t="inlineStr"/>
      <c r="N9" s="6" t="inlineStr">
        <is>
          <t>High</t>
        </is>
      </c>
      <c r="O9" s="6" t="inlineStr"/>
      <c r="P9" s="6" t="inlineStr"/>
      <c r="Q9" s="6" t="inlineStr">
        <is>
          <t>See conversation notes — MFA enrollment not built yet</t>
        </is>
      </c>
    </row>
    <row r="10" ht="75" customHeight="1">
      <c r="A10" s="6" t="inlineStr">
        <is>
          <t>TC-009</t>
        </is>
      </c>
      <c r="B10" s="6" t="inlineStr">
        <is>
          <t>Install Scripts</t>
        </is>
      </c>
      <c r="C10" s="6" t="inlineStr">
        <is>
          <t>Run installer without root/sudo</t>
        </is>
      </c>
      <c r="D10" s="6" t="inlineStr">
        <is>
          <t>install-sensor.sh refuses to run as a normal user</t>
        </is>
      </c>
      <c r="E10" s="6" t="inlineStr">
        <is>
          <t>The script needs root to install packages and system services. If launched as a normal user it must say so immediately, not fail confusingly halfway through.</t>
        </is>
      </c>
      <c r="F10" s="6" t="inlineStr">
        <is>
          <t>Disposable Ubuntu 22.04 Docker container (not the real host) — never run against a live/shared machine.</t>
        </is>
      </c>
      <c r="G10" s="6" t="inlineStr">
        <is>
          <t>Run install-sensor.sh as a non-root user with no sudo.</t>
        </is>
      </c>
      <c r="H10" s="6" t="inlineStr">
        <is>
          <t>whoami != root, no sudo group membership</t>
        </is>
      </c>
      <c r="I10" s="6" t="inlineStr">
        <is>
          <t>Script exits immediately with: 'This script must be run as root. Try: sudo bash install-sensor.sh'</t>
        </is>
      </c>
      <c r="J10" s="6" t="inlineStr">
        <is>
          <t>Matched exactly. Exits at the very first line before touching any package or service.</t>
        </is>
      </c>
      <c r="K10" s="6" t="inlineStr">
        <is>
          <t>Passed</t>
        </is>
      </c>
      <c r="L10" s="6" t="inlineStr">
        <is>
          <t>Manual (live, isolated container)</t>
        </is>
      </c>
      <c r="M10" s="6" t="inlineStr">
        <is>
          <t>1</t>
        </is>
      </c>
      <c r="N10" s="6" t="inlineStr">
        <is>
          <t>High</t>
        </is>
      </c>
      <c r="O10" s="6" t="inlineStr">
        <is>
          <t>Claude (isolated Docker container, not the live host)</t>
        </is>
      </c>
      <c r="P10" s="6" t="inlineStr">
        <is>
          <t>2026-09-09</t>
        </is>
      </c>
      <c r="Q10" s="6" t="inlineStr">
        <is>
          <t>No defect.</t>
        </is>
      </c>
    </row>
    <row r="11" ht="75" customHeight="1">
      <c r="A11" s="6" t="inlineStr">
        <is>
          <t>TC-010</t>
        </is>
      </c>
      <c r="B11" s="6" t="inlineStr">
        <is>
          <t>Install Scripts</t>
        </is>
      </c>
      <c r="C11" s="6" t="inlineStr">
        <is>
          <t>Zeek package repo unreachable</t>
        </is>
      </c>
      <c r="D11" s="6" t="inlineStr">
        <is>
          <t>Zeek install fails gracefully, Suricata still installs</t>
        </is>
      </c>
      <c r="E11" s="6" t="inlineStr">
        <is>
          <t>Zeek and Suricata are installed as two independent steps. If Zeek's apt repo can't be reached, that must not stop Suricata (or anything else) from installing.</t>
        </is>
      </c>
      <c r="F11" s="6" t="inlineStr">
        <is>
          <t>Disposable Ubuntu 22.04 Docker container (not the real host) — never run against a live/shared machine.</t>
        </is>
      </c>
      <c r="G11" s="6" t="inlineStr">
        <is>
          <t>Run install-sensor.sh as root with the Zeek apt repo domain blackholed (--add-host to 127.0.0.1). Leave Suricata's repo reachable.</t>
        </is>
      </c>
      <c r="H11" s="6" t="inlineStr">
        <is>
          <t>--add-host download.opensuse.org:127.0.0.1 (Zeek's repo host)</t>
        </is>
      </c>
      <c r="I11" s="6" t="inlineStr">
        <is>
          <t>Zeek step logs a clear error and the script continues; Suricata installs successfully afterward.</t>
        </is>
      </c>
      <c r="J11" s="6" t="inlineStr">
        <is>
          <t>Confirmed: Zeek step recorded 'Zeek: apt-get install failed (...)' with a fix hint, script continued, Suricata installed and started normally.</t>
        </is>
      </c>
      <c r="K11" s="6" t="inlineStr">
        <is>
          <t>Passed</t>
        </is>
      </c>
      <c r="L11" s="6" t="inlineStr">
        <is>
          <t>Manual (live, isolated container)</t>
        </is>
      </c>
      <c r="M11" s="6" t="inlineStr">
        <is>
          <t>2 (characterized the original bug, then verified the fix)</t>
        </is>
      </c>
      <c r="N11" s="6" t="inlineStr">
        <is>
          <t>Medium</t>
        </is>
      </c>
      <c r="O11" s="6" t="inlineStr">
        <is>
          <t>Claude (isolated Docker container, not the live host)</t>
        </is>
      </c>
      <c r="P11" s="6" t="inlineStr">
        <is>
          <t>2026-09-09</t>
        </is>
      </c>
      <c r="Q11" s="6" t="inlineStr">
        <is>
          <t>No defect after fix. Originally this alerted Suricata on ip-api.com traffic — see TC-001.</t>
        </is>
      </c>
    </row>
    <row r="12" ht="75" customHeight="1">
      <c r="A12" s="6" t="inlineStr">
        <is>
          <t>TC-011</t>
        </is>
      </c>
      <c r="B12" s="6" t="inlineStr">
        <is>
          <t>Install Scripts</t>
        </is>
      </c>
      <c r="C12" s="6" t="inlineStr">
        <is>
          <t>Fully offline install</t>
        </is>
      </c>
      <c r="D12" s="6" t="inlineStr">
        <is>
          <t>Zeek and Suricata both fail gracefully when there is no network at all</t>
        </is>
      </c>
      <c r="E12" s="6" t="inlineStr">
        <is>
          <t>Worst case for the sensor pieces: the whole container has no network. Both IDS engines should fail with a clear reason and the rest of the install should still finish.</t>
        </is>
      </c>
      <c r="F12" s="6" t="inlineStr">
        <is>
          <t>Disposable Ubuntu 22.04 Docker container (not the real host) — never run against a live/shared machine.</t>
        </is>
      </c>
      <c r="G12" s="6" t="inlineStr">
        <is>
          <t>Run install-sensor.sh as root with --network none.</t>
        </is>
      </c>
      <c r="H12" s="6" t="inlineStr">
        <is>
          <t>--network none</t>
        </is>
      </c>
      <c r="I12" s="6" t="inlineStr">
        <is>
          <t>Zeek and Suricata each log their own clear failure; script reaches the end instead of dying mid-way.</t>
        </is>
      </c>
      <c r="J12" s="6" t="inlineStr">
        <is>
          <t>Confirmed: both steps recorded structured errors, non-IDS steps (that don't need network) completed normally.</t>
        </is>
      </c>
      <c r="K12" s="6" t="inlineStr">
        <is>
          <t>Passed</t>
        </is>
      </c>
      <c r="L12" s="6" t="inlineStr">
        <is>
          <t>Manual (live, isolated container)</t>
        </is>
      </c>
      <c r="M12" s="6" t="inlineStr">
        <is>
          <t>1</t>
        </is>
      </c>
      <c r="N12" s="6" t="inlineStr">
        <is>
          <t>High</t>
        </is>
      </c>
      <c r="O12" s="6" t="inlineStr">
        <is>
          <t>Claude (isolated Docker container, not the live host)</t>
        </is>
      </c>
      <c r="P12" s="6" t="inlineStr">
        <is>
          <t>2026-09-09</t>
        </is>
      </c>
      <c r="Q12" s="6" t="inlineStr">
        <is>
          <t>No defect.</t>
        </is>
      </c>
    </row>
    <row r="13" ht="75" customHeight="1">
      <c r="A13" s="6" t="inlineStr">
        <is>
          <t>TC-012</t>
        </is>
      </c>
      <c r="B13" s="6" t="inlineStr">
        <is>
          <t>Install Scripts</t>
        </is>
      </c>
      <c r="C13" s="6" t="inlineStr">
        <is>
          <t>Arkime download unreachable</t>
        </is>
      </c>
      <c r="D13" s="6" t="inlineStr">
        <is>
          <t>Arkime (packet recorder) install fails gracefully</t>
        </is>
      </c>
      <c r="E13" s="6" t="inlineStr">
        <is>
          <t>Arkime is downloaded directly from GitHub rather than an apt repo. If GitHub is unreachable, that download must fail cleanly, not crash the script.</t>
        </is>
      </c>
      <c r="F13" s="6" t="inlineStr">
        <is>
          <t>Disposable Ubuntu 22.04 Docker container (not the real host) — never run against a live/shared machine.</t>
        </is>
      </c>
      <c r="G13" s="6" t="inlineStr">
        <is>
          <t>Run install-sensor.sh with github.com blackholed via --add-host.</t>
        </is>
      </c>
      <c r="H13" s="6" t="inlineStr">
        <is>
          <t>--add-host github.com:127.0.0.1</t>
        </is>
      </c>
      <c r="I13" s="6" t="inlineStr">
        <is>
          <t>Arkime step logs a clear download failure with a fix hint; script continues to later steps.</t>
        </is>
      </c>
      <c r="J13" s="6" t="inlineStr">
        <is>
          <t>Confirmed: 'Packet Recorder: curl download failed (...)' recorded, script continued.</t>
        </is>
      </c>
      <c r="K13" s="6" t="inlineStr">
        <is>
          <t>Passed</t>
        </is>
      </c>
      <c r="L13" s="6" t="inlineStr">
        <is>
          <t>Manual (live, isolated container)</t>
        </is>
      </c>
      <c r="M13" s="6" t="inlineStr">
        <is>
          <t>1</t>
        </is>
      </c>
      <c r="N13" s="6" t="inlineStr">
        <is>
          <t>Medium</t>
        </is>
      </c>
      <c r="O13" s="6" t="inlineStr">
        <is>
          <t>Claude (isolated Docker container, not the live host)</t>
        </is>
      </c>
      <c r="P13" s="6" t="inlineStr">
        <is>
          <t>2026-09-09</t>
        </is>
      </c>
      <c r="Q13" s="6" t="inlineStr">
        <is>
          <t>No defect.</t>
        </is>
      </c>
    </row>
    <row r="14" ht="75" customHeight="1">
      <c r="A14" s="6" t="inlineStr">
        <is>
          <t>TC-013</t>
        </is>
      </c>
      <c r="B14" s="6" t="inlineStr">
        <is>
          <t>Install Scripts</t>
        </is>
      </c>
      <c r="C14" s="6" t="inlineStr">
        <is>
          <t>Vector apt repo AND wget fallback both blocked</t>
        </is>
      </c>
      <c r="D14" s="6" t="inlineStr">
        <is>
          <t>Vector (log collector) install fails gracefully on both install paths</t>
        </is>
      </c>
      <c r="E14" s="6" t="inlineStr">
        <is>
          <t>Vector has two install paths: apt repo first, then a wget script as fallback. Both need to fail cleanly if both are unreachable — and the error text itself needs to say why.</t>
        </is>
      </c>
      <c r="F14" s="6" t="inlineStr">
        <is>
          <t>Disposable Ubuntu 22.04 Docker container (not the real host) — never run against a live/shared machine.</t>
        </is>
      </c>
      <c r="G14" s="6" t="inlineStr">
        <is>
          <t>Run install-sensor.sh with Vector's apt repo domain AND the wget fallback script's domain both blackholed.</t>
        </is>
      </c>
      <c r="H14" s="6" t="inlineStr">
        <is>
          <t>--add-host repositories.timber.io:127.0.0.1 --add-host sh.vector.dev:127.0.0.1</t>
        </is>
      </c>
      <c r="I14" s="6" t="inlineStr">
        <is>
          <t>Vector step logs a clear failure with the real underlying error text; script continues.</t>
        </is>
      </c>
      <c r="J14" s="6" t="inlineStr">
        <is>
          <t>First run showed a BLANK error message ('failed ()') — 'wget -q' was silently swallowing its own error text. Fixed by switching to 'wget -nv'. Re-tested: real error text now shows ('failed: Connection refused.').</t>
        </is>
      </c>
      <c r="K14" s="6" t="inlineStr">
        <is>
          <t>Passed</t>
        </is>
      </c>
      <c r="L14" s="6" t="inlineStr">
        <is>
          <t>Manual (live, isolated container)</t>
        </is>
      </c>
      <c r="M14" s="6" t="inlineStr">
        <is>
          <t>2 (found the wget -q bug on first run, fixed, re-tested)</t>
        </is>
      </c>
      <c r="N14" s="6" t="inlineStr">
        <is>
          <t>Medium</t>
        </is>
      </c>
      <c r="O14" s="6" t="inlineStr">
        <is>
          <t>Claude (isolated Docker container, not the live host)</t>
        </is>
      </c>
      <c r="P14" s="6" t="inlineStr">
        <is>
          <t>2026-09-09</t>
        </is>
      </c>
      <c r="Q14" s="6" t="inlineStr">
        <is>
          <t>DEFECT FOUND &amp; FIXED: wget -q suppressed its own error output, defeating the purpose of capturing it.</t>
        </is>
      </c>
    </row>
    <row r="15" ht="75" customHeight="1">
      <c r="A15" s="6" t="inlineStr">
        <is>
          <t>TC-014</t>
        </is>
      </c>
      <c r="B15" s="6" t="inlineStr">
        <is>
          <t>Install Scripts</t>
        </is>
      </c>
      <c r="C15" s="6" t="inlineStr">
        <is>
          <t>auditd (endpoint visibility) install blocked</t>
        </is>
      </c>
      <c r="D15" s="6" t="inlineStr">
        <is>
          <t>auditd install fails gracefully when offline</t>
        </is>
      </c>
      <c r="E15" s="6" t="inlineStr">
        <is>
          <t>auditd gives endpoint visibility; if it can't be installed, the rest of the sensor must still come up.</t>
        </is>
      </c>
      <c r="F15" s="6" t="inlineStr">
        <is>
          <t>Disposable Ubuntu 22.04 Docker container (not the real host) — never run against a live/shared machine.</t>
        </is>
      </c>
      <c r="G15" s="6" t="inlineStr">
        <is>
          <t>Run install-sensor.sh as root with --network none, focused on the auditd step.</t>
        </is>
      </c>
      <c r="H15" s="6" t="inlineStr">
        <is>
          <t>--network none</t>
        </is>
      </c>
      <c r="I15" s="6" t="inlineStr">
        <is>
          <t>auditd step logs a clear failure with a fix hint; script continues.</t>
        </is>
      </c>
      <c r="J15" s="6" t="inlineStr">
        <is>
          <t>Confirmed: 'Endpoint Visibility: apt-get install failed (...)' recorded, script continued to later steps.</t>
        </is>
      </c>
      <c r="K15" s="6" t="inlineStr">
        <is>
          <t>Passed</t>
        </is>
      </c>
      <c r="L15" s="6" t="inlineStr">
        <is>
          <t>Manual (live, isolated container)</t>
        </is>
      </c>
      <c r="M15" s="6" t="inlineStr">
        <is>
          <t>1</t>
        </is>
      </c>
      <c r="N15" s="6" t="inlineStr">
        <is>
          <t>Medium</t>
        </is>
      </c>
      <c r="O15" s="6" t="inlineStr">
        <is>
          <t>Claude (isolated Docker container, not the live host)</t>
        </is>
      </c>
      <c r="P15" s="6" t="inlineStr">
        <is>
          <t>2026-09-09</t>
        </is>
      </c>
      <c r="Q15" s="6" t="inlineStr">
        <is>
          <t>No defect.</t>
        </is>
      </c>
    </row>
    <row r="16" ht="75" customHeight="1">
      <c r="A16" s="6" t="inlineStr">
        <is>
          <t>TC-015</t>
        </is>
      </c>
      <c r="B16" s="6" t="inlineStr">
        <is>
          <t>Install Scripts</t>
        </is>
      </c>
      <c r="C16" s="6" t="inlineStr">
        <is>
          <t>Foundational apt-get update + base package install fully offline</t>
        </is>
      </c>
      <c r="D16" s="6" t="inlineStr">
        <is>
          <t>Missing curl/wget/docker after a silent apt-get update 'success' is now caught</t>
        </is>
      </c>
      <c r="E16" s="6" t="inlineStr">
        <is>
          <t>apt-get update can report success (exit code 0) even when every single repo fetch fails — it just falls back to whatever is cached and warns instead of erroring. The base package install right after it (curl, wget, docker.io, git, python3, etc.) used to be wrapped in '|| true' inside a background job, so if apt could not actually fetch anything, ALL of those tools could silently fail to install with zero warning and zero log entry.</t>
        </is>
      </c>
      <c r="F16" s="6" t="inlineStr">
        <is>
          <t>Disposable Ubuntu 22.04 Docker container (not the real host) — never run against a live/shared machine.</t>
        </is>
      </c>
      <c r="G16" s="6" t="inlineStr">
        <is>
          <t>Run install-sensor.sh as root with --network none, letting it reach the very first 'Installing Dependencies' step.</t>
        </is>
      </c>
      <c r="H16" s="6" t="inlineStr">
        <is>
          <t>--network none (base image has no cached .deb data for these packages)</t>
        </is>
      </c>
      <c r="I16" s="6" t="inlineStr">
        <is>
          <t>If curl/wget cannot be installed, the script must stop immediately with a clear reason instead of silently continuing with none of its required tools present.</t>
        </is>
      </c>
      <c r="J16" s="6" t="inlineStr">
        <is>
          <t>BEFORE FIX: script printed 'done' and continued as if nothing was wrong, with curl/wget/docker never actually installed. AFTER FIX: verified curl/wget are actually present after the install command runs; if not, hard error showing the real apt output ('E: Unable to locate package curl...') and a fix hint. Non-critical packages (arp-scan, snmp, ethtool) failing on their own only logs a warning and continues. Fixing this also surfaced a second bug: 'wait $PID' on the background install job is itself a bare command under 'set -e', so the script died before ever reaching the new curl/wget check. Fixed with 'wait $PID || DEPS_RC=$?'. Re-tested: now fails loudly with exit 1 and the real error text. Confirmed the normal online path still succeeds (exit 0) and is unaffected.</t>
        </is>
      </c>
      <c r="K16" s="6" t="inlineStr">
        <is>
          <t>Passed</t>
        </is>
      </c>
      <c r="L16" s="6" t="inlineStr">
        <is>
          <t>Manual (live, isolated container)</t>
        </is>
      </c>
      <c r="M16" s="6" t="inlineStr">
        <is>
          <t>3 (found the silent-failure gap, fixed it, found + fixed the wait/set -e bug in that fix, re-tested both offline and online)</t>
        </is>
      </c>
      <c r="N16" s="6" t="inlineStr">
        <is>
          <t>High</t>
        </is>
      </c>
      <c r="O16" s="6" t="inlineStr">
        <is>
          <t>Claude (isolated Docker container, not the live host)</t>
        </is>
      </c>
      <c r="P16" s="6" t="inlineStr">
        <is>
          <t>2026-09-09</t>
        </is>
      </c>
      <c r="Q16" s="6" t="inlineStr">
        <is>
          <t>DEFECT FOUND &amp; FIXED (the most serious one in this whole test round): a totally silent failure of every foundational tool the rest of the script depends on. Now fails loudly instead.</t>
        </is>
      </c>
    </row>
    <row r="17" ht="75" customHeight="1">
      <c r="A17" s="6" t="inlineStr">
        <is>
          <t>TC-016</t>
        </is>
      </c>
      <c r="B17" s="6" t="inlineStr">
        <is>
          <t>Install Scripts</t>
        </is>
      </c>
      <c r="C17" s="6" t="inlineStr">
        <is>
          <t>Final systemctl daemon-reload with no systemd present</t>
        </is>
      </c>
      <c r="D17" s="6" t="inlineStr">
        <is>
          <t>daemon-reload failure is logged and non-fatal</t>
        </is>
      </c>
      <c r="E17" s="6" t="inlineStr">
        <is>
          <t>On a machine without a real systemd/init (e.g. certain containers), the final daemon-reload will fail. This should never be treated as a fatal error — the services underneath are already running.</t>
        </is>
      </c>
      <c r="F17" s="6" t="inlineStr">
        <is>
          <t>Disposable Ubuntu 22.04 Docker container (not the real host) — never run against a live/shared machine.</t>
        </is>
      </c>
      <c r="G17" s="6" t="inlineStr">
        <is>
          <t>Run the final service-setup step in a plain container with no systemd.</t>
        </is>
      </c>
      <c r="H17" s="6" t="inlineStr">
        <is>
          <t>Plain ubuntu:22.04, no init system</t>
        </is>
      </c>
      <c r="I17" s="6" t="inlineStr">
        <is>
          <t>Logs a clear warning naming the real cause and suggesting a real host/VM with systemd; script finishes normally (exit 0).</t>
        </is>
      </c>
      <c r="J17" s="6" t="inlineStr">
        <is>
          <t>Confirmed: 'Service Setup: systemctl daemon-reload failed (systemctl: command not found)...' logged, script exited 0.</t>
        </is>
      </c>
      <c r="K17" s="6" t="inlineStr">
        <is>
          <t>Passed</t>
        </is>
      </c>
      <c r="L17" s="6" t="inlineStr">
        <is>
          <t>Manual (live, isolated container)</t>
        </is>
      </c>
      <c r="M17" s="6" t="inlineStr">
        <is>
          <t>1</t>
        </is>
      </c>
      <c r="N17" s="6" t="inlineStr">
        <is>
          <t>Low</t>
        </is>
      </c>
      <c r="O17" s="6" t="inlineStr">
        <is>
          <t>Claude (isolated Docker container, not the live host)</t>
        </is>
      </c>
      <c r="P17" s="6" t="inlineStr">
        <is>
          <t>2026-09-09</t>
        </is>
      </c>
      <c r="Q17" s="6" t="inlineStr">
        <is>
          <t>No defect.</t>
        </is>
      </c>
    </row>
    <row r="18" ht="75" customHeight="1">
      <c r="A18" s="6" t="inlineStr">
        <is>
          <t>TC-017</t>
        </is>
      </c>
      <c r="B18" s="6" t="inlineStr">
        <is>
          <t>Install Scripts</t>
        </is>
      </c>
      <c r="C18" s="6" t="inlineStr">
        <is>
          <t>ch-import.sh exits with an error</t>
        </is>
      </c>
      <c r="D18" s="6" t="inlineStr">
        <is>
          <t>ClickHouse data-migration failure does not abort install-customer.sh</t>
        </is>
      </c>
      <c r="E18" s="6" t="inlineStr">
        <is>
          <t>When migrating a customer's pre-existing ClickHouse data, if ch-import.sh fails (e.g. a corrupt export), the customer's Docker stack is already up — the install should not be treated as failed just because the migration step had a problem.</t>
        </is>
      </c>
      <c r="F18" s="6" t="inlineStr">
        <is>
          <t>Disposable Ubuntu 22.04 Docker container (not the real host) — never run against a live/shared machine.</t>
        </is>
      </c>
      <c r="G18" s="6" t="inlineStr">
        <is>
          <t>Run install-customer.sh's migration step with CH_NEEDS_IMPORT=true and a stub ch-import.sh that exits 1.</t>
        </is>
      </c>
      <c r="H18" s="6" t="inlineStr">
        <is>
          <t>Stub ch-import.sh: prints a message and 'exit 1'</t>
        </is>
      </c>
      <c r="I18" s="6" t="inlineStr">
        <is>
          <t>Logs a clear error naming ch-import.sh and how to re-run it manually later; script continues (exit 0).</t>
        </is>
      </c>
      <c r="J18" s="6" t="inlineStr">
        <is>
          <t>Confirmed: 'ClickHouse Import: ch-import.sh exited with an error...' logged with the re-run command, script exited 0.</t>
        </is>
      </c>
      <c r="K18" s="6" t="inlineStr">
        <is>
          <t>Passed</t>
        </is>
      </c>
      <c r="L18" s="6" t="inlineStr">
        <is>
          <t>Manual (live, isolated container)</t>
        </is>
      </c>
      <c r="M18" s="6" t="inlineStr">
        <is>
          <t>1</t>
        </is>
      </c>
      <c r="N18" s="6" t="inlineStr">
        <is>
          <t>Medium</t>
        </is>
      </c>
      <c r="O18" s="6" t="inlineStr">
        <is>
          <t>Claude (isolated Docker container, not the live host)</t>
        </is>
      </c>
      <c r="P18" s="6" t="inlineStr">
        <is>
          <t>2026-09-09</t>
        </is>
      </c>
      <c r="Q18" s="6" t="inlineStr">
        <is>
          <t>No defect.</t>
        </is>
      </c>
    </row>
    <row r="19" ht="75" customHeight="1">
      <c r="A19" s="6" t="inlineStr">
        <is>
          <t>TC-018</t>
        </is>
      </c>
      <c r="B19" s="6" t="inlineStr">
        <is>
          <t>Install Scripts</t>
        </is>
      </c>
      <c r="C19" s="6" t="inlineStr">
        <is>
          <t>ndr-updater.service fails to start (no systemd)</t>
        </is>
      </c>
      <c r="D19" s="6" t="inlineStr">
        <is>
          <t>Update-watcher service failure does not abort install-customer.sh</t>
        </is>
      </c>
      <c r="E19" s="6" t="inlineStr">
        <is>
          <t>ndr-updater.service is a convenience auto-updater, not part of the running platform. Its failure to start must never be treated as install failure.</t>
        </is>
      </c>
      <c r="F19" s="6" t="inlineStr">
        <is>
          <t>Disposable Ubuntu 22.04 Docker container (not the real host) — never run against a live/shared machine.</t>
        </is>
      </c>
      <c r="G19" s="6" t="inlineStr">
        <is>
          <t>Run install-customer.sh's final service-setup block in a plain container with no systemd, sudo stubbed to exec its arguments directly.</t>
        </is>
      </c>
      <c r="H19" s="6" t="inlineStr">
        <is>
          <t>Plain ubuntu:22.04, no init system, stubbed sudo</t>
        </is>
      </c>
      <c r="I19" s="6" t="inlineStr">
        <is>
          <t>Both daemon-reload and ndr-updater.service failures are logged separately with fix hints; script finishes normally (exit 0).</t>
        </is>
      </c>
      <c r="J19" s="6" t="inlineStr">
        <is>
          <t>Confirmed: both 'Service Setup' errors logged correctly (daemon-reload, then ndr-updater.service), script exited 0.</t>
        </is>
      </c>
      <c r="K19" s="6" t="inlineStr">
        <is>
          <t>Passed</t>
        </is>
      </c>
      <c r="L19" s="6" t="inlineStr">
        <is>
          <t>Manual (live, isolated container)</t>
        </is>
      </c>
      <c r="M19" s="6" t="inlineStr">
        <is>
          <t>1</t>
        </is>
      </c>
      <c r="N19" s="6" t="inlineStr">
        <is>
          <t>Low</t>
        </is>
      </c>
      <c r="O19" s="6" t="inlineStr">
        <is>
          <t>Claude (isolated Docker container, not the live host)</t>
        </is>
      </c>
      <c r="P19" s="6" t="inlineStr">
        <is>
          <t>2026-09-09</t>
        </is>
      </c>
      <c r="Q19" s="6" t="inlineStr">
        <is>
          <t>No defect.</t>
        </is>
      </c>
    </row>
    <row r="20" ht="75" customHeight="1">
      <c r="A20" s="6" t="inlineStr">
        <is>
          <t>TC-019</t>
        </is>
      </c>
      <c r="B20" s="6" t="inlineStr">
        <is>
          <t>Install Scripts</t>
        </is>
      </c>
      <c r="C20" s="6" t="inlineStr">
        <is>
          <t>Docker repo domain blocked</t>
        </is>
      </c>
      <c r="D20" s="6" t="inlineStr">
        <is>
          <t>install-customer.sh Docker install fails cleanly, not mid-script</t>
        </is>
      </c>
      <c r="E20" s="6" t="inlineStr">
        <is>
          <t>Docker itself is foundational — everything else depends on it being installed. If its apt repo is unreachable, that must stop the install with a clear reason rather than continuing into a broken state.</t>
        </is>
      </c>
      <c r="F20" s="6" t="inlineStr">
        <is>
          <t>Disposable Ubuntu 22.04 Docker container (not the real host) — never run against a live/shared machine.</t>
        </is>
      </c>
      <c r="G20" s="6" t="inlineStr">
        <is>
          <t>Run install-customer.sh with Docker's apt repo domain blackholed via --add-host.</t>
        </is>
      </c>
      <c r="H20" s="6" t="inlineStr">
        <is>
          <t>--add-host download.docker.com:127.0.0.1</t>
        </is>
      </c>
      <c r="I20" s="6" t="inlineStr">
        <is>
          <t>Script stops with a clear 'Docker install failed' error instead of continuing and failing confusingly later.</t>
        </is>
      </c>
      <c r="J20" s="6" t="inlineStr">
        <is>
          <t>Confirmed: hard stop with the real underlying apt/curl error and a fix hint.</t>
        </is>
      </c>
      <c r="K20" s="6" t="inlineStr">
        <is>
          <t>Passed</t>
        </is>
      </c>
      <c r="L20" s="6" t="inlineStr">
        <is>
          <t>Manual (live, isolated container)</t>
        </is>
      </c>
      <c r="M20" s="6" t="inlineStr">
        <is>
          <t>1</t>
        </is>
      </c>
      <c r="N20" s="6" t="inlineStr">
        <is>
          <t>High</t>
        </is>
      </c>
      <c r="O20" s="6" t="inlineStr">
        <is>
          <t>Claude (isolated Docker container, not the live host)</t>
        </is>
      </c>
      <c r="P20" s="6" t="inlineStr">
        <is>
          <t>2026-09-09</t>
        </is>
      </c>
      <c r="Q20" s="6" t="inlineStr">
        <is>
          <t>No defect.</t>
        </is>
      </c>
    </row>
    <row r="21" ht="75" customHeight="1">
      <c r="A21" s="6" t="inlineStr">
        <is>
          <t>TC-020</t>
        </is>
      </c>
      <c r="B21" s="6" t="inlineStr">
        <is>
          <t>Install Scripts</t>
        </is>
      </c>
      <c r="C21" s="6" t="inlineStr">
        <is>
          <t>Docker signing-key curl|gpg pipeline blocked</t>
        </is>
      </c>
      <c r="D21" s="6" t="inlineStr">
        <is>
          <t>install-cloud.sh Docker signing-key fetch fails cleanly</t>
        </is>
      </c>
      <c r="E21" s="6" t="inlineStr">
        <is>
          <t>Same Docker-is-foundational reasoning as above, specifically for install-cloud.sh's own copy of the curl|gpg signing-key pipeline (a separate code path from install-customer.sh's).</t>
        </is>
      </c>
      <c r="F21" s="6" t="inlineStr">
        <is>
          <t>Disposable Ubuntu 22.04 Docker container (not the real host) — never run against a live/shared machine.</t>
        </is>
      </c>
      <c r="G21" s="6" t="inlineStr">
        <is>
          <t>Run install-cloud.sh with --network none so the signing-key curl|gpg pipeline cannot reach download.docker.com.</t>
        </is>
      </c>
      <c r="H21" s="6" t="inlineStr">
        <is>
          <t>--network none</t>
        </is>
      </c>
      <c r="I21" s="6" t="inlineStr">
        <is>
          <t>Script stops with a clear error identifying the signing-key step, not a generic curl failure buried in output.</t>
        </is>
      </c>
      <c r="J21" s="6" t="inlineStr">
        <is>
          <t>Confirmed: hard stop naming the Docker install step with the real curl error and a fix hint.</t>
        </is>
      </c>
      <c r="K21" s="6" t="inlineStr">
        <is>
          <t>Passed</t>
        </is>
      </c>
      <c r="L21" s="6" t="inlineStr">
        <is>
          <t>Manual (live, isolated container)</t>
        </is>
      </c>
      <c r="M21" s="6" t="inlineStr">
        <is>
          <t>1</t>
        </is>
      </c>
      <c r="N21" s="6" t="inlineStr">
        <is>
          <t>High</t>
        </is>
      </c>
      <c r="O21" s="6" t="inlineStr">
        <is>
          <t>Claude (isolated Docker container, not the live host)</t>
        </is>
      </c>
      <c r="P21" s="6" t="inlineStr">
        <is>
          <t>2026-09-09</t>
        </is>
      </c>
      <c r="Q21" s="6" t="inlineStr">
        <is>
          <t>No defect.</t>
        </is>
      </c>
    </row>
    <row r="22" ht="75" customHeight="1">
      <c r="A22" s="6" t="inlineStr">
        <is>
          <t>TC-021</t>
        </is>
      </c>
      <c r="B22" s="6" t="inlineStr">
        <is>
          <t>Install Scripts</t>
        </is>
      </c>
      <c r="C22" s="6" t="inlineStr">
        <is>
          <t>Stubbed docker pull failure (bad registry/token)</t>
        </is>
      </c>
      <c r="D22" s="6" t="inlineStr">
        <is>
          <t>install-cloud.sh stops cleanly if an image pull fails</t>
        </is>
      </c>
      <c r="E22" s="6" t="inlineStr">
        <is>
          <t>Pulling the platform's container images is foundational — if any image pull fails (bad credentials, registry down), the script must stop rather than trying to start a stack with a missing image.</t>
        </is>
      </c>
      <c r="F22" s="6" t="inlineStr">
        <is>
          <t>Disposable Ubuntu 22.04 Docker container (not the real host) — never run against a live/shared machine.</t>
        </is>
      </c>
      <c r="G22" s="6" t="inlineStr">
        <is>
          <t>Run install-cloud.sh with a stubbed 'docker' command whose 'pull' subcommand always exits 1.</t>
        </is>
      </c>
      <c r="H22" s="6" t="inlineStr">
        <is>
          <t>Fake docker executable earlier in PATH; pull always fails</t>
        </is>
      </c>
      <c r="I22" s="6" t="inlineStr">
        <is>
          <t>Script stops immediately naming which image failed to pull and why, with a fix hint.</t>
        </is>
      </c>
      <c r="J22" s="6" t="inlineStr">
        <is>
          <t>Confirmed: hard stop, correct image name and stubbed error text shown.</t>
        </is>
      </c>
      <c r="K22" s="6" t="inlineStr">
        <is>
          <t>Passed</t>
        </is>
      </c>
      <c r="L22" s="6" t="inlineStr">
        <is>
          <t>Manual (live, isolated container)</t>
        </is>
      </c>
      <c r="M22" s="6" t="inlineStr">
        <is>
          <t>1</t>
        </is>
      </c>
      <c r="N22" s="6" t="inlineStr">
        <is>
          <t>High</t>
        </is>
      </c>
      <c r="O22" s="6" t="inlineStr">
        <is>
          <t>Claude (isolated Docker container, not the live host)</t>
        </is>
      </c>
      <c r="P22" s="6" t="inlineStr">
        <is>
          <t>2026-09-09</t>
        </is>
      </c>
      <c r="Q22" s="6" t="inlineStr">
        <is>
          <t>No defect.</t>
        </is>
      </c>
    </row>
    <row r="23" ht="75" customHeight="1">
      <c r="A23" s="6" t="inlineStr">
        <is>
          <t>TC-022</t>
        </is>
      </c>
      <c r="B23" s="6" t="inlineStr">
        <is>
          <t>Install Scripts</t>
        </is>
      </c>
      <c r="C23" s="6" t="inlineStr">
        <is>
          <t>Stubbed docker compose up failure (port conflict)</t>
        </is>
      </c>
      <c r="D23" s="6" t="inlineStr">
        <is>
          <t>install-cloud.sh stops cleanly if the stack fails to start</t>
        </is>
      </c>
      <c r="E23" s="6" t="inlineStr">
        <is>
          <t>'docker compose up' is the final foundational step — if it fails (e.g. a port already in use), the script must say so clearly rather than reporting success with nothing actually running.</t>
        </is>
      </c>
      <c r="F23" s="6" t="inlineStr">
        <is>
          <t>Disposable Ubuntu 22.04 Docker container (not the real host) — never run against a live/shared machine.</t>
        </is>
      </c>
      <c r="G23" s="6" t="inlineStr">
        <is>
          <t>Run install-cloud.sh with a stubbed 'docker' command whose 'compose up' always exits 1 with a simulated port-conflict message.</t>
        </is>
      </c>
      <c r="H23" s="6" t="inlineStr">
        <is>
          <t>Fake docker executable; 'compose up' fails with 'port is already allocated'</t>
        </is>
      </c>
      <c r="I23" s="6" t="inlineStr">
        <is>
          <t>Script stops with the real compose error surfaced and a fix hint (e.g. check for a conflicting service).</t>
        </is>
      </c>
      <c r="J23" s="6" t="inlineStr">
        <is>
          <t>Confirmed: hard stop, real stubbed error text surfaced correctly.</t>
        </is>
      </c>
      <c r="K23" s="6" t="inlineStr">
        <is>
          <t>Passed</t>
        </is>
      </c>
      <c r="L23" s="6" t="inlineStr">
        <is>
          <t>Manual (live, isolated container)</t>
        </is>
      </c>
      <c r="M23" s="6" t="inlineStr">
        <is>
          <t>1</t>
        </is>
      </c>
      <c r="N23" s="6" t="inlineStr">
        <is>
          <t>High</t>
        </is>
      </c>
      <c r="O23" s="6" t="inlineStr">
        <is>
          <t>Claude (isolated Docker container, not the live host)</t>
        </is>
      </c>
      <c r="P23" s="6" t="inlineStr">
        <is>
          <t>2026-09-09</t>
        </is>
      </c>
      <c r="Q23" s="6" t="inlineStr">
        <is>
          <t>No defect.</t>
        </is>
      </c>
    </row>
    <row r="24" ht="75" customHeight="1">
      <c r="A24" s="6" t="inlineStr">
        <is>
          <t>TC-023</t>
        </is>
      </c>
      <c r="B24" s="6" t="inlineStr">
        <is>
          <t>Install Scripts</t>
        </is>
      </c>
      <c r="C24" s="6" t="inlineStr">
        <is>
          <t>Stubbed docker pull loop failure</t>
        </is>
      </c>
      <c r="D24" s="6" t="inlineStr">
        <is>
          <t>install-customer.sh stops cleanly if any of its image pulls fail</t>
        </is>
      </c>
      <c r="E24" s="6" t="inlineStr">
        <is>
          <t>install-customer.sh pulls its own set of images (ndr-engine, provigil-auth, ndr-ui) in a loop — same foundational reasoning as install-cloud.sh's pull step, tested separately since it's a different loop in a different script.</t>
        </is>
      </c>
      <c r="F24" s="6" t="inlineStr">
        <is>
          <t>Disposable Ubuntu 22.04 Docker container (not the real host) — never run against a live/shared machine.</t>
        </is>
      </c>
      <c r="G24" s="6" t="inlineStr">
        <is>
          <t>Run install-customer.sh with a stubbed 'docker' command whose 'pull' subcommand always exits 1.</t>
        </is>
      </c>
      <c r="H24" s="6" t="inlineStr">
        <is>
          <t>Fake docker executable earlier in PATH; pull always fails</t>
        </is>
      </c>
      <c r="I24" s="6" t="inlineStr">
        <is>
          <t>Script stops immediately naming the failed image and why, with a fix hint.</t>
        </is>
      </c>
      <c r="J24" s="6" t="inlineStr">
        <is>
          <t>Confirmed: hard stop, correct image name and stubbed error text shown for each image in the loop.</t>
        </is>
      </c>
      <c r="K24" s="6" t="inlineStr">
        <is>
          <t>Passed</t>
        </is>
      </c>
      <c r="L24" s="6" t="inlineStr">
        <is>
          <t>Manual (live, isolated container)</t>
        </is>
      </c>
      <c r="M24" s="6" t="inlineStr">
        <is>
          <t>1</t>
        </is>
      </c>
      <c r="N24" s="6" t="inlineStr">
        <is>
          <t>High</t>
        </is>
      </c>
      <c r="O24" s="6" t="inlineStr">
        <is>
          <t>Claude (isolated Docker container, not the live host)</t>
        </is>
      </c>
      <c r="P24" s="6" t="inlineStr">
        <is>
          <t>2026-09-09</t>
        </is>
      </c>
      <c r="Q24" s="6" t="inlineStr">
        <is>
          <t>No defect.</t>
        </is>
      </c>
    </row>
    <row r="25" ht="75" customHeight="1">
      <c r="A25" s="6" t="inlineStr">
        <is>
          <t>TC-024</t>
        </is>
      </c>
      <c r="B25" s="6" t="inlineStr">
        <is>
          <t>Install Scripts</t>
        </is>
      </c>
      <c r="C25" s="6" t="inlineStr">
        <is>
          <t>Stubbed Kafka docker exec failure (container not up)</t>
        </is>
      </c>
      <c r="D25" s="6" t="inlineStr">
        <is>
          <t>Kafka topic/retention config failure is logged and non-fatal</t>
        </is>
      </c>
      <c r="E25" s="6" t="inlineStr">
        <is>
          <t>Kafka topic/retention setup is a tuning step, not foundational — the platform runs without it. Its failure should be logged, not treated as install failure.</t>
        </is>
      </c>
      <c r="F25" s="6" t="inlineStr">
        <is>
          <t>Disposable Ubuntu 22.04 Docker container (not the real host) — never run against a live/shared machine.</t>
        </is>
      </c>
      <c r="G25" s="6" t="inlineStr">
        <is>
          <t>Run the Kafka config step with a stubbed 'docker' command whose 'exec' subcommand always exits 1 (simulating the Kafka container not being up yet).</t>
        </is>
      </c>
      <c r="H25" s="6" t="inlineStr">
        <is>
          <t>Fake docker executable; exec always fails</t>
        </is>
      </c>
      <c r="I25" s="6" t="inlineStr">
        <is>
          <t>Logs a clear warning naming Kafka config and how to re-run it manually; script continues (exit 0).</t>
        </is>
      </c>
      <c r="J25" s="6" t="inlineStr">
        <is>
          <t>Confirmed: 'Kafka Configuration: ... failed (...)' logged with a fix hint, script exited 0.</t>
        </is>
      </c>
      <c r="K25" s="6" t="inlineStr">
        <is>
          <t>Passed</t>
        </is>
      </c>
      <c r="L25" s="6" t="inlineStr">
        <is>
          <t>Manual (live, isolated container)</t>
        </is>
      </c>
      <c r="M25" s="6" t="inlineStr">
        <is>
          <t>1</t>
        </is>
      </c>
      <c r="N25" s="6" t="inlineStr">
        <is>
          <t>Low</t>
        </is>
      </c>
      <c r="O25" s="6" t="inlineStr">
        <is>
          <t>Claude (isolated Docker container, not the live host)</t>
        </is>
      </c>
      <c r="P25" s="6" t="inlineStr">
        <is>
          <t>2026-09-09</t>
        </is>
      </c>
      <c r="Q25" s="6" t="inlineStr">
        <is>
          <t>No defect.</t>
        </is>
      </c>
    </row>
    <row r="26" ht="75" customHeight="1">
      <c r="A26" s="6" t="inlineStr">
        <is>
          <t>TC-025</t>
        </is>
      </c>
      <c r="B26" s="6" t="inlineStr">
        <is>
          <t>Install Scripts</t>
        </is>
      </c>
      <c r="C26" s="6" t="inlineStr">
        <is>
          <t>Unsupported OS (no /etc/os-release)</t>
        </is>
      </c>
      <c r="D26" s="6" t="inlineStr">
        <is>
          <t>install-sensor.sh refuses to run on an unrecognized OS</t>
        </is>
      </c>
      <c r="E26" s="6" t="inlineStr">
        <is>
          <t>The script reads /etc/os-release to know which Ubuntu version it's on. If that file is missing entirely, it must say so plainly instead of failing confusingly later.</t>
        </is>
      </c>
      <c r="F26" s="6" t="inlineStr">
        <is>
          <t>Disposable Ubuntu 22.04 Docker container (not the real host) — never run against a live/shared machine.</t>
        </is>
      </c>
      <c r="G26" s="6" t="inlineStr">
        <is>
          <t>Remove /etc/os-release, then reach the OS-check line.</t>
        </is>
      </c>
      <c r="H26" s="6" t="inlineStr">
        <is>
          <t>/etc/os-release deleted</t>
        </is>
      </c>
      <c r="I26" s="6" t="inlineStr">
        <is>
          <t>Script exits immediately with 'Unsupported OS'.</t>
        </is>
      </c>
      <c r="J26" s="6" t="inlineStr">
        <is>
          <t>Confirmed: exits with 'Unsupported OS' at exit code 1.</t>
        </is>
      </c>
      <c r="K26" s="6" t="inlineStr">
        <is>
          <t>Passed</t>
        </is>
      </c>
      <c r="L26" s="6" t="inlineStr">
        <is>
          <t>Manual (live, isolated container)</t>
        </is>
      </c>
      <c r="M26" s="6" t="inlineStr">
        <is>
          <t>1</t>
        </is>
      </c>
      <c r="N26" s="6" t="inlineStr">
        <is>
          <t>Low</t>
        </is>
      </c>
      <c r="O26" s="6" t="inlineStr">
        <is>
          <t>Claude (isolated Docker container, not the live host)</t>
        </is>
      </c>
      <c r="P26" s="6" t="inlineStr">
        <is>
          <t>2026-09-09</t>
        </is>
      </c>
      <c r="Q26" s="6" t="inlineStr">
        <is>
          <t>No defect.</t>
        </is>
      </c>
    </row>
    <row r="27" ht="75" customHeight="1">
      <c r="A27" s="6" t="inlineStr">
        <is>
          <t>TC-026</t>
        </is>
      </c>
      <c r="B27" s="6" t="inlineStr">
        <is>
          <t>Install Scripts</t>
        </is>
      </c>
      <c r="C27" s="6" t="inlineStr">
        <is>
          <t>Zeek apt source list cannot be written</t>
        </is>
      </c>
      <c r="D27" s="6" t="inlineStr">
        <is>
          <t>Zeek repo-file write failure now shows the real reason (was blank)</t>
        </is>
      </c>
      <c r="E27" s="6" t="inlineStr">
        <is>
          <t>If /etc/apt/sources.list.d is not writable, the script must say why. It was using a raw '&gt;' redirect, and bash's own 'cannot open file' errors from a failed redirect can never be captured by that same command's 2&gt; — they go straight to the terminal instead, so the recorded message was always blank.</t>
        </is>
      </c>
      <c r="F27" s="6" t="inlineStr">
        <is>
          <t>Disposable Ubuntu 22.04 Docker container (not the real host) — never run against a live/shared machine.</t>
        </is>
      </c>
      <c r="G27" s="6" t="inlineStr">
        <is>
          <t>Mount /etc/apt/sources.list.d read-only, then run the Zeek repo-file-write step.</t>
        </is>
      </c>
      <c r="H27" s="6" t="inlineStr">
        <is>
          <t>--tmpfs /etc/apt/sources.list.d:ro</t>
        </is>
      </c>
      <c r="I27" s="6" t="inlineStr">
        <is>
          <t>Logs a clear, non-blank reason for the write failure; script continues.</t>
        </is>
      </c>
      <c r="J27" s="6" t="inlineStr">
        <is>
          <t>BEFORE FIX: message was blank — 'could not write apt source list ()'. Fixed by piping through 'tee' instead of a raw '&gt;' redirect (this converts a shell-level redirect failure into a normal command failure, which 2&gt; CAN capture). AFTER FIX: 'could not write apt source list (tee: '...': Read-only file system)'. Applied the same fix to Vector's apt source-list write, which had the identical pattern.</t>
        </is>
      </c>
      <c r="K27" s="6" t="inlineStr">
        <is>
          <t>Passed</t>
        </is>
      </c>
      <c r="L27" s="6" t="inlineStr">
        <is>
          <t>Manual (live, isolated container)</t>
        </is>
      </c>
      <c r="M27" s="6" t="inlineStr">
        <is>
          <t>2 (found the blank-message bug, fixed with tee, re-tested)</t>
        </is>
      </c>
      <c r="N27" s="6" t="inlineStr">
        <is>
          <t>Medium</t>
        </is>
      </c>
      <c r="O27" s="6" t="inlineStr">
        <is>
          <t>Claude (isolated Docker container, not the live host)</t>
        </is>
      </c>
      <c r="P27" s="6" t="inlineStr">
        <is>
          <t>2026-09-09</t>
        </is>
      </c>
      <c r="Q27" s="6" t="inlineStr">
        <is>
          <t>DEFECT FOUND &amp; FIXED: a whole class of 'redirect target unwritable' errors were being silently dropped, not just for Zeek. Also fixed the identical pattern in Vector's repo-file write.</t>
        </is>
      </c>
    </row>
    <row r="28" ht="75" customHeight="1">
      <c r="A28" s="6" t="inlineStr">
        <is>
          <t>TC-027</t>
        </is>
      </c>
      <c r="B28" s="6" t="inlineStr">
        <is>
          <t>Install Scripts</t>
        </is>
      </c>
      <c r="C28" s="6" t="inlineStr">
        <is>
          <t>Zeek signing-key host unreachable (only that host blocked)</t>
        </is>
      </c>
      <c r="D28" s="6" t="inlineStr">
        <is>
          <t>Zeek signing-key fetch fails cleanly when only download.opensuse.org is unreachable</t>
        </is>
      </c>
      <c r="E28" s="6" t="inlineStr">
        <is>
          <t>Distinguishes this specific step from the broader 'Zeek repo blocked' test already covered — here only the signing-key host is blocked while general network access works, isolating this exact branch.</t>
        </is>
      </c>
      <c r="F28" s="6" t="inlineStr">
        <is>
          <t>Disposable Ubuntu 22.04 Docker container (not the real host) — never run against a live/shared machine.</t>
        </is>
      </c>
      <c r="G28" s="6" t="inlineStr">
        <is>
          <t>Blackhole download.opensuse.org only via --add-host; leave all other network access working.</t>
        </is>
      </c>
      <c r="H28" s="6" t="inlineStr">
        <is>
          <t>--add-host download.opensuse.org:127.0.0.1</t>
        </is>
      </c>
      <c r="I28" s="6" t="inlineStr">
        <is>
          <t>Logs the real curl connection error for the signing key; script continues.</t>
        </is>
      </c>
      <c r="J28" s="6" t="inlineStr">
        <is>
          <t>Confirmed: 'could not fetch/import the repo signing key (curl: (7) Failed to connect...)' logged, script continued.</t>
        </is>
      </c>
      <c r="K28" s="6" t="inlineStr">
        <is>
          <t>Passed</t>
        </is>
      </c>
      <c r="L28" s="6" t="inlineStr">
        <is>
          <t>Manual (live, isolated container)</t>
        </is>
      </c>
      <c r="M28" s="6" t="inlineStr">
        <is>
          <t>1</t>
        </is>
      </c>
      <c r="N28" s="6" t="inlineStr">
        <is>
          <t>Medium</t>
        </is>
      </c>
      <c r="O28" s="6" t="inlineStr">
        <is>
          <t>Claude (isolated Docker container, not the live host)</t>
        </is>
      </c>
      <c r="P28" s="6" t="inlineStr">
        <is>
          <t>2026-09-09</t>
        </is>
      </c>
      <c r="Q28" s="6" t="inlineStr">
        <is>
          <t>No defect.</t>
        </is>
      </c>
    </row>
    <row r="29" ht="75" customHeight="1">
      <c r="A29" s="6" t="inlineStr">
        <is>
          <t>TC-028</t>
        </is>
      </c>
      <c r="B29" s="6" t="inlineStr">
        <is>
          <t>Install Scripts</t>
        </is>
      </c>
      <c r="C29" s="6" t="inlineStr">
        <is>
          <t>OpenSearch cannot bind any port after 5 retries</t>
        </is>
      </c>
      <c r="D29" s="6" t="inlineStr">
        <is>
          <t>Sensor install stops cleanly if OpenSearch can never get a free port</t>
        </is>
      </c>
      <c r="E29" s="6" t="inlineStr">
        <is>
          <t>OpenSearch is foundational for packet capture (Arkime depends on it). The script tries 5 ports before giving up — if all 5 fail, it needs to say so clearly rather than continuing with no OpenSearch running.</t>
        </is>
      </c>
      <c r="F29" s="6" t="inlineStr">
        <is>
          <t>Disposable Ubuntu 22.04 Docker container (not the real host) — never run against a live/shared machine.</t>
        </is>
      </c>
      <c r="G29" s="6" t="inlineStr">
        <is>
          <t>Stub the 'docker' command so 'docker run ... opensearch-arkime' always fails; let the retry loop run to exhaustion.</t>
        </is>
      </c>
      <c r="H29" s="6" t="inlineStr">
        <is>
          <t>Fake docker executable; 'docker run' always fails with a simulated port-conflict error</t>
        </is>
      </c>
      <c r="I29" s="6" t="inlineStr">
        <is>
          <t>Tries ports 9200-9204 (5 attempts), then hard-stops with 'Could not find a free port for OpenSearch after several attempts.'</t>
        </is>
      </c>
      <c r="J29" s="6" t="inlineStr">
        <is>
          <t>Confirmed: all 5 retries logged individually, then hard stop with exit 1 and the exact expected message.</t>
        </is>
      </c>
      <c r="K29" s="6" t="inlineStr">
        <is>
          <t>Passed</t>
        </is>
      </c>
      <c r="L29" s="6" t="inlineStr">
        <is>
          <t>Manual (live, isolated container)</t>
        </is>
      </c>
      <c r="M29" s="6" t="inlineStr">
        <is>
          <t>1</t>
        </is>
      </c>
      <c r="N29" s="6" t="inlineStr">
        <is>
          <t>Medium</t>
        </is>
      </c>
      <c r="O29" s="6" t="inlineStr">
        <is>
          <t>Claude (isolated Docker container, not the live host)</t>
        </is>
      </c>
      <c r="P29" s="6" t="inlineStr">
        <is>
          <t>2026-09-09</t>
        </is>
      </c>
      <c r="Q29" s="6" t="inlineStr">
        <is>
          <t>No defect.</t>
        </is>
      </c>
    </row>
    <row r="30" ht="75" customHeight="1">
      <c r="A30" s="6" t="inlineStr">
        <is>
          <t>TC-029</t>
        </is>
      </c>
      <c r="B30" s="6" t="inlineStr">
        <is>
          <t>Install Scripts</t>
        </is>
      </c>
      <c r="C30" s="6" t="inlineStr">
        <is>
          <t>Arkime admin user creation fails</t>
        </is>
      </c>
      <c r="D30" s="6" t="inlineStr">
        <is>
          <t>Arkime admin-user creation failure is logged and non-fatal</t>
        </is>
      </c>
      <c r="E30" s="6" t="inlineStr">
        <is>
          <t>Creating the Arkime web-UI admin account is a convenience step — Arkime itself (already installed and running) doesn't depend on it. Failure here should not be treated as install failure.</t>
        </is>
      </c>
      <c r="F30" s="6" t="inlineStr">
        <is>
          <t>Disposable Ubuntu 22.04 Docker container (not the real host) — never run against a live/shared machine.</t>
        </is>
      </c>
      <c r="G30" s="6" t="inlineStr">
        <is>
          <t>Set ARKIME_OK=1 and stub /opt/arkime/bin/arkime_add_user.sh to exit 1.</t>
        </is>
      </c>
      <c r="H30" s="6" t="inlineStr">
        <is>
          <t>Stub script simulating 'opensearch connection refused'</t>
        </is>
      </c>
      <c r="I30" s="6" t="inlineStr">
        <is>
          <t>Logs a clear error with the manual command to re-run later; script continues (exit 0).</t>
        </is>
      </c>
      <c r="J30" s="6" t="inlineStr">
        <is>
          <t>Confirmed: 'could not create the Arkime admin user (arkime_add_user.sh: opensearch connection refused)' logged, script exited 0.</t>
        </is>
      </c>
      <c r="K30" s="6" t="inlineStr">
        <is>
          <t>Passed</t>
        </is>
      </c>
      <c r="L30" s="6" t="inlineStr">
        <is>
          <t>Manual (live, isolated container)</t>
        </is>
      </c>
      <c r="M30" s="6" t="inlineStr">
        <is>
          <t>1</t>
        </is>
      </c>
      <c r="N30" s="6" t="inlineStr">
        <is>
          <t>Low</t>
        </is>
      </c>
      <c r="O30" s="6" t="inlineStr">
        <is>
          <t>Claude (isolated Docker container, not the live host)</t>
        </is>
      </c>
      <c r="P30" s="6" t="inlineStr">
        <is>
          <t>2026-09-09</t>
        </is>
      </c>
      <c r="Q30" s="6" t="inlineStr">
        <is>
          <t>No defect.</t>
        </is>
      </c>
    </row>
    <row r="31" ht="75" customHeight="1">
      <c r="A31" s="6" t="inlineStr">
        <is>
          <t>TC-030</t>
        </is>
      </c>
      <c r="B31" s="6" t="inlineStr">
        <is>
          <t>Install Scripts</t>
        </is>
      </c>
      <c r="C31" s="6" t="inlineStr">
        <is>
          <t>Base system packages fail to install (fully offline)</t>
        </is>
      </c>
      <c r="D31" s="6" t="inlineStr">
        <is>
          <t>install-cloud.sh: unconditional 'installed' message no longer lies after a failure</t>
        </is>
      </c>
      <c r="E31" s="6" t="inlineStr">
        <is>
          <t>The very first apt-get install step (curl, wget, jq, python3, etc.) printed '✅ System packages installed' unconditionally — even right after logging that the install had failed. That contradicts the warning shown one line above it and could mislead whoever's reading the install log.</t>
        </is>
      </c>
      <c r="F31" s="6" t="inlineStr">
        <is>
          <t>Disposable Ubuntu 22.04 Docker container (not the real host) — never run against a live/shared machine.</t>
        </is>
      </c>
      <c r="G31" s="6" t="inlineStr">
        <is>
          <t>Run install-cloud.sh's system-dependencies step with --network none.</t>
        </is>
      </c>
      <c r="H31" s="6" t="inlineStr">
        <is>
          <t>--network none</t>
        </is>
      </c>
      <c r="I31" s="6" t="inlineStr">
        <is>
          <t>If the install fails, only the failure message should appear — not a false 'installed' success line right after it.</t>
        </is>
      </c>
      <c r="J31" s="6" t="inlineStr">
        <is>
          <t>BEFORE FIX: printed the failure warning correctly, then unconditionally printed 'System packages installed' anyway. Fixed by moving the success log inside the if-branch (only prints on real success). AFTER FIX: only the failure warning shows, no false success message. Non-fatal either way, so behavior is unchanged for this specific step's outcome — just the messaging accuracy.</t>
        </is>
      </c>
      <c r="K31" s="6" t="inlineStr">
        <is>
          <t>Passed</t>
        </is>
      </c>
      <c r="L31" s="6" t="inlineStr">
        <is>
          <t>Manual (live, isolated container)</t>
        </is>
      </c>
      <c r="M31" s="6" t="inlineStr">
        <is>
          <t>2 (found the false-success message, fixed, re-tested)</t>
        </is>
      </c>
      <c r="N31" s="6" t="inlineStr">
        <is>
          <t>Low</t>
        </is>
      </c>
      <c r="O31" s="6" t="inlineStr">
        <is>
          <t>Claude (isolated Docker container, not the live host)</t>
        </is>
      </c>
      <c r="P31" s="6" t="inlineStr">
        <is>
          <t>2026-09-09</t>
        </is>
      </c>
      <c r="Q31" s="6" t="inlineStr">
        <is>
          <t>DEFECT FOUND &amp; FIXED: a cosmetic but genuinely misleading log message.</t>
        </is>
      </c>
    </row>
    <row r="32" ht="75" customHeight="1">
      <c r="A32" s="6" t="inlineStr">
        <is>
          <t>TC-031</t>
        </is>
      </c>
      <c r="B32" s="6" t="inlineStr">
        <is>
          <t>Install Scripts</t>
        </is>
      </c>
      <c r="C32" s="6" t="inlineStr">
        <is>
          <t>Docker installs but the service won't start (no systemd)</t>
        </is>
      </c>
      <c r="D32" s="6" t="inlineStr">
        <is>
          <t>install-cloud.sh stops cleanly if Docker installs but never actually starts</t>
        </is>
      </c>
      <c r="E32" s="6" t="inlineStr">
        <is>
          <t>Docker being installed as a package doesn't guarantee its service can start (e.g. no real systemd/init). Since everything downstream needs a running Docker daemon, this must be a hard stop.</t>
        </is>
      </c>
      <c r="F32" s="6" t="inlineStr">
        <is>
          <t>Disposable Ubuntu 22.04 Docker container (not the real host) — never run against a live/shared machine.</t>
        </is>
      </c>
      <c r="G32" s="6" t="inlineStr">
        <is>
          <t>Stub sudo to exec its arguments directly; run in a plain container with no real systemd, isolating the enable/start branch.</t>
        </is>
      </c>
      <c r="H32" s="6" t="inlineStr">
        <is>
          <t>Stubbed sudo, no systemctl binary</t>
        </is>
      </c>
      <c r="I32" s="6" t="inlineStr">
        <is>
          <t>Logs the real reason the service wouldn't start, then hard-stops with 'Docker is required for every step from here on...'</t>
        </is>
      </c>
      <c r="J32" s="6" t="inlineStr">
        <is>
          <t>Confirmed: 'installed but the service would not start (systemctl: not found)' logged, then hard stop, exit 1.</t>
        </is>
      </c>
      <c r="K32" s="6" t="inlineStr">
        <is>
          <t>Passed</t>
        </is>
      </c>
      <c r="L32" s="6" t="inlineStr">
        <is>
          <t>Manual (live, isolated container)</t>
        </is>
      </c>
      <c r="M32" s="6" t="inlineStr">
        <is>
          <t>1</t>
        </is>
      </c>
      <c r="N32" s="6" t="inlineStr">
        <is>
          <t>High</t>
        </is>
      </c>
      <c r="O32" s="6" t="inlineStr">
        <is>
          <t>Claude (isolated Docker container, not the live host)</t>
        </is>
      </c>
      <c r="P32" s="6" t="inlineStr">
        <is>
          <t>2026-09-09</t>
        </is>
      </c>
      <c r="Q32" s="6" t="inlineStr">
        <is>
          <t>No defect.</t>
        </is>
      </c>
    </row>
    <row r="33" ht="75" customHeight="1">
      <c r="A33" s="6" t="inlineStr">
        <is>
          <t>TC-032</t>
        </is>
      </c>
      <c r="B33" s="6" t="inlineStr">
        <is>
          <t>Install Scripts</t>
        </is>
      </c>
      <c r="C33" s="6" t="inlineStr">
        <is>
          <t>docker restart fails after writing daemon.json</t>
        </is>
      </c>
      <c r="D33" s="6" t="inlineStr">
        <is>
          <t>install-cloud.sh Docker daemon-config restart failure is logged and non-fatal</t>
        </is>
      </c>
      <c r="E33" s="6" t="inlineStr">
        <is>
          <t>Writing a custom daemon.json (log rotation settings) and restarting Docker to apply it is a tuning step — if the restart fails, Docker is very likely already running from before, so this should not abort the install.</t>
        </is>
      </c>
      <c r="F33" s="6" t="inlineStr">
        <is>
          <t>Disposable Ubuntu 22.04 Docker container (not the real host) — never run against a live/shared machine.</t>
        </is>
      </c>
      <c r="G33" s="6" t="inlineStr">
        <is>
          <t>Stub sudo to exec directly; no real systemctl present; run the daemon.json write + restart step.</t>
        </is>
      </c>
      <c r="H33" s="6" t="inlineStr">
        <is>
          <t>Stubbed sudo, no systemctl binary</t>
        </is>
      </c>
      <c r="I33" s="6" t="inlineStr">
        <is>
          <t>Logs a clear warning naming the real cause; script continues (exit 0).</t>
        </is>
      </c>
      <c r="J33" s="6" t="inlineStr">
        <is>
          <t>Confirmed: 'could not restart the docker service after writing daemon.json (systemctl: not found)' logged, script exited 0.</t>
        </is>
      </c>
      <c r="K33" s="6" t="inlineStr">
        <is>
          <t>Passed</t>
        </is>
      </c>
      <c r="L33" s="6" t="inlineStr">
        <is>
          <t>Manual (live, isolated container)</t>
        </is>
      </c>
      <c r="M33" s="6" t="inlineStr">
        <is>
          <t>1</t>
        </is>
      </c>
      <c r="N33" s="6" t="inlineStr">
        <is>
          <t>Low</t>
        </is>
      </c>
      <c r="O33" s="6" t="inlineStr">
        <is>
          <t>Claude (isolated Docker container, not the live host)</t>
        </is>
      </c>
      <c r="P33" s="6" t="inlineStr">
        <is>
          <t>2026-09-09</t>
        </is>
      </c>
      <c r="Q33" s="6" t="inlineStr">
        <is>
          <t>No defect.</t>
        </is>
      </c>
    </row>
    <row r="34" ht="75" customHeight="1">
      <c r="A34" s="6" t="inlineStr">
        <is>
          <t>TC-033</t>
        </is>
      </c>
      <c r="B34" s="6" t="inlineStr">
        <is>
          <t>Install Scripts</t>
        </is>
      </c>
      <c r="C34" s="6" t="inlineStr">
        <is>
          <t>Container registry login fails (bad token)</t>
        </is>
      </c>
      <c r="D34" s="6" t="inlineStr">
        <is>
          <t>install-cloud.sh stops cleanly if the registry token is rejected</t>
        </is>
      </c>
      <c r="E34" s="6" t="inlineStr">
        <is>
          <t>Every subsequent image pull depends on a successful registry login — a bad or expired token must stop the install immediately rather than failing confusingly at the first pull.</t>
        </is>
      </c>
      <c r="F34" s="6" t="inlineStr">
        <is>
          <t>Disposable Ubuntu 22.04 Docker container (not the real host) — never run against a live/shared machine.</t>
        </is>
      </c>
      <c r="G34" s="6" t="inlineStr">
        <is>
          <t>Stub the 'docker' command so 'docker login' always exits 1 with a simulated 'invalid_token' error.</t>
        </is>
      </c>
      <c r="H34" s="6" t="inlineStr">
        <is>
          <t>Fake docker executable; login always fails</t>
        </is>
      </c>
      <c r="I34" s="6" t="inlineStr">
        <is>
          <t>Hard-stops with 'Registry login failed — check your token and try again', showing the real error above it.</t>
        </is>
      </c>
      <c r="J34" s="6" t="inlineStr">
        <is>
          <t>Confirmed: real docker error line printed, then hard stop, exit 1.</t>
        </is>
      </c>
      <c r="K34" s="6" t="inlineStr">
        <is>
          <t>Passed</t>
        </is>
      </c>
      <c r="L34" s="6" t="inlineStr">
        <is>
          <t>Manual (live, isolated container)</t>
        </is>
      </c>
      <c r="M34" s="6" t="inlineStr">
        <is>
          <t>1</t>
        </is>
      </c>
      <c r="N34" s="6" t="inlineStr">
        <is>
          <t>High</t>
        </is>
      </c>
      <c r="O34" s="6" t="inlineStr">
        <is>
          <t>Claude (isolated Docker container, not the live host)</t>
        </is>
      </c>
      <c r="P34" s="6" t="inlineStr">
        <is>
          <t>2026-09-09</t>
        </is>
      </c>
      <c r="Q34" s="6" t="inlineStr">
        <is>
          <t>No defect.</t>
        </is>
      </c>
    </row>
    <row r="35" ht="75" customHeight="1">
      <c r="A35" s="6" t="inlineStr">
        <is>
          <t>TC-034</t>
        </is>
      </c>
      <c r="B35" s="6" t="inlineStr">
        <is>
          <t>Install Scripts</t>
        </is>
      </c>
      <c r="C35" s="6" t="inlineStr">
        <is>
          <t>Kafka topic creation AND retention config both fail (same run)</t>
        </is>
      </c>
      <c r="D35" s="6" t="inlineStr">
        <is>
          <t>install-cloud.sh: Kafka topic-creation and retention failures are each labeled distinctly</t>
        </is>
      </c>
      <c r="E35" s="6" t="inlineStr">
        <is>
          <t>Clarifies a granularity gap from an earlier broader Kafka test: topic creation and retention configuration are two separate steps with two separate error messages — confirming each fires independently and is labeled correctly rather than one masking the other.</t>
        </is>
      </c>
      <c r="F35" s="6" t="inlineStr">
        <is>
          <t>Disposable Ubuntu 22.04 Docker container (not the real host) — never run against a live/shared machine.</t>
        </is>
      </c>
      <c r="G35" s="6" t="inlineStr">
        <is>
          <t>Stub 'docker exec' to always fail; run both the topic-creation and retention-config steps back to back.</t>
        </is>
      </c>
      <c r="H35" s="6" t="inlineStr">
        <is>
          <t>Fake docker executable; exec always fails with 'No such container: kafka1'</t>
        </is>
      </c>
      <c r="I35" s="6" t="inlineStr">
        <is>
          <t>Two separate, correctly-labeled warnings ('topic creation failed' and 'setting retention.ms failed'); script continues.</t>
        </is>
      </c>
      <c r="J35" s="6" t="inlineStr">
        <is>
          <t>Confirmed: both warnings appeared, each with its own correct label and fix hint, script exited 0.</t>
        </is>
      </c>
      <c r="K35" s="6" t="inlineStr">
        <is>
          <t>Passed</t>
        </is>
      </c>
      <c r="L35" s="6" t="inlineStr">
        <is>
          <t>Manual (live, isolated container)</t>
        </is>
      </c>
      <c r="M35" s="6" t="inlineStr">
        <is>
          <t>1</t>
        </is>
      </c>
      <c r="N35" s="6" t="inlineStr">
        <is>
          <t>Low</t>
        </is>
      </c>
      <c r="O35" s="6" t="inlineStr">
        <is>
          <t>Claude (isolated Docker container, not the live host)</t>
        </is>
      </c>
      <c r="P35" s="6" t="inlineStr">
        <is>
          <t>2026-09-09</t>
        </is>
      </c>
      <c r="Q35" s="6" t="inlineStr">
        <is>
          <t>No defect — confirms no ambiguity between the two failure messages.</t>
        </is>
      </c>
    </row>
    <row r="36" ht="75" customHeight="1">
      <c r="A36" s="6" t="inlineStr">
        <is>
          <t>TC-035</t>
        </is>
      </c>
      <c r="B36" s="6" t="inlineStr">
        <is>
          <t>Install Scripts</t>
        </is>
      </c>
      <c r="C36" s="6" t="inlineStr">
        <is>
          <t>ca-certificates/curl/gnupg/lsb-release install fails (fully offline)</t>
        </is>
      </c>
      <c r="D36" s="6" t="inlineStr">
        <is>
          <t>install-customer.sh stops cleanly if Docker's own prerequisite packages can't install</t>
        </is>
      </c>
      <c r="E36" s="6" t="inlineStr">
        <is>
          <t>These packages are needed before Docker's own repo can even be added (its signing key fetch needs curl/gnupg). If they can't install, nothing about Docker can proceed, so this is correctly a hard stop.</t>
        </is>
      </c>
      <c r="F36" s="6" t="inlineStr">
        <is>
          <t>Disposable Ubuntu 22.04 Docker container (not the real host) — never run against a live/shared machine.</t>
        </is>
      </c>
      <c r="G36" s="6" t="inlineStr">
        <is>
          <t>Run install-customer.sh's Docker-prerequisites step with --network none.</t>
        </is>
      </c>
      <c r="H36" s="6" t="inlineStr">
        <is>
          <t>--network none</t>
        </is>
      </c>
      <c r="I36" s="6" t="inlineStr">
        <is>
          <t>Hard-stops with the real apt error and a network-connectivity fix hint.</t>
        </is>
      </c>
      <c r="J36" s="6" t="inlineStr">
        <is>
          <t>Confirmed: real apt 'Unable to locate package'/'no installation candidate' errors shown, hard stop, exit 1.</t>
        </is>
      </c>
      <c r="K36" s="6" t="inlineStr">
        <is>
          <t>Passed</t>
        </is>
      </c>
      <c r="L36" s="6" t="inlineStr">
        <is>
          <t>Manual (live, isolated container)</t>
        </is>
      </c>
      <c r="M36" s="6" t="inlineStr">
        <is>
          <t>1</t>
        </is>
      </c>
      <c r="N36" s="6" t="inlineStr">
        <is>
          <t>High</t>
        </is>
      </c>
      <c r="O36" s="6" t="inlineStr">
        <is>
          <t>Claude (isolated Docker container, not the live host)</t>
        </is>
      </c>
      <c r="P36" s="6" t="inlineStr">
        <is>
          <t>2026-09-09</t>
        </is>
      </c>
      <c r="Q36" s="6" t="inlineStr">
        <is>
          <t>No defect.</t>
        </is>
      </c>
    </row>
    <row r="37" ht="75" customHeight="1">
      <c r="A37" s="6" t="inlineStr">
        <is>
          <t>TC-036</t>
        </is>
      </c>
      <c r="B37" s="6" t="inlineStr">
        <is>
          <t>Install Scripts</t>
        </is>
      </c>
      <c r="C37" s="6" t="inlineStr">
        <is>
          <t>systemctl enable docker fails (no systemd)</t>
        </is>
      </c>
      <c r="D37" s="6" t="inlineStr">
        <is>
          <t>install-customer.sh Docker service-enable failure is logged and non-fatal</t>
        </is>
      </c>
      <c r="E37" s="6" t="inlineStr">
        <is>
          <t>Enabling Docker to auto-start on boot is separate from Docker actually running right now (checked later via 'docker info'). This failure alone should not stop the install.</t>
        </is>
      </c>
      <c r="F37" s="6" t="inlineStr">
        <is>
          <t>Disposable Ubuntu 22.04 Docker container (not the real host) — never run against a live/shared machine.</t>
        </is>
      </c>
      <c r="G37" s="6" t="inlineStr">
        <is>
          <t>Stub sudo to exec directly; no real systemctl present; run the enable-docker step.</t>
        </is>
      </c>
      <c r="H37" s="6" t="inlineStr">
        <is>
          <t>Stubbed sudo, no systemctl binary</t>
        </is>
      </c>
      <c r="I37" s="6" t="inlineStr">
        <is>
          <t>Logs a clear warning with a manual-start fallback hint; script continues.</t>
        </is>
      </c>
      <c r="J37" s="6" t="inlineStr">
        <is>
          <t>Confirmed: 'systemctl enable docker failed (systemctl: not found)' logged with 'sudo dockerd &amp;' fallback hint, script continued.</t>
        </is>
      </c>
      <c r="K37" s="6" t="inlineStr">
        <is>
          <t>Passed</t>
        </is>
      </c>
      <c r="L37" s="6" t="inlineStr">
        <is>
          <t>Manual (live, isolated container)</t>
        </is>
      </c>
      <c r="M37" s="6" t="inlineStr">
        <is>
          <t>1</t>
        </is>
      </c>
      <c r="N37" s="6" t="inlineStr">
        <is>
          <t>Low</t>
        </is>
      </c>
      <c r="O37" s="6" t="inlineStr">
        <is>
          <t>Claude (isolated Docker container, not the live host)</t>
        </is>
      </c>
      <c r="P37" s="6" t="inlineStr">
        <is>
          <t>2026-09-09</t>
        </is>
      </c>
      <c r="Q37" s="6" t="inlineStr">
        <is>
          <t>No defect.</t>
        </is>
      </c>
    </row>
    <row r="38" ht="75" customHeight="1">
      <c r="A38" s="6" t="inlineStr">
        <is>
          <t>TC-037</t>
        </is>
      </c>
      <c r="B38" s="6" t="inlineStr">
        <is>
          <t>Install Scripts</t>
        </is>
      </c>
      <c r="C38" s="6" t="inlineStr">
        <is>
          <t>Docker never actually starts (docker info check)</t>
        </is>
      </c>
      <c r="D38" s="6" t="inlineStr">
        <is>
          <t>install-customer.sh stops cleanly if Docker is never actually reachable</t>
        </is>
      </c>
      <c r="E38" s="6" t="inlineStr">
        <is>
          <t>After enabling/starting Docker, the script polls 'docker info' for up to a minute as the real proof Docker is usable — separate from (and more reliable than) the enable/start commands succeeding on paper. If it's still unreachable after polling, that must be a hard stop.</t>
        </is>
      </c>
      <c r="F38" s="6" t="inlineStr">
        <is>
          <t>Disposable Ubuntu 22.04 Docker container (not the real host) — never run against a live/shared machine.</t>
        </is>
      </c>
      <c r="G38" s="6" t="inlineStr">
        <is>
          <t>No real Docker daemon reachable; let the polling loop run to exhaustion, then hit the final check.</t>
        </is>
      </c>
      <c r="H38" s="6" t="inlineStr">
        <is>
          <t>No functioning docker daemon/socket present</t>
        </is>
      </c>
      <c r="I38" s="6" t="inlineStr">
        <is>
          <t>Polls for up to ~60s, then hard-stops with 'Docker failed to start'.</t>
        </is>
      </c>
      <c r="J38" s="6" t="inlineStr">
        <is>
          <t>Confirmed: polled through the retry loop, then hard stop with exit 1 and the exact expected message.</t>
        </is>
      </c>
      <c r="K38" s="6" t="inlineStr">
        <is>
          <t>Passed</t>
        </is>
      </c>
      <c r="L38" s="6" t="inlineStr">
        <is>
          <t>Manual (live, isolated container)</t>
        </is>
      </c>
      <c r="M38" s="6" t="inlineStr">
        <is>
          <t>1</t>
        </is>
      </c>
      <c r="N38" s="6" t="inlineStr">
        <is>
          <t>High</t>
        </is>
      </c>
      <c r="O38" s="6" t="inlineStr">
        <is>
          <t>Claude (isolated Docker container, not the live host)</t>
        </is>
      </c>
      <c r="P38" s="6" t="inlineStr">
        <is>
          <t>2026-09-09</t>
        </is>
      </c>
      <c r="Q38" s="6" t="inlineStr">
        <is>
          <t>No defect.</t>
        </is>
      </c>
    </row>
    <row r="39" ht="75" customHeight="1">
      <c r="A39" s="6" t="inlineStr">
        <is>
          <t>TC-038</t>
        </is>
      </c>
      <c r="B39" s="6" t="inlineStr">
        <is>
          <t>Install Scripts</t>
        </is>
      </c>
      <c r="C39" s="6" t="inlineStr">
        <is>
          <t>Kafka retention AND topic creation both fail (same run)</t>
        </is>
      </c>
      <c r="D39" s="6" t="inlineStr">
        <is>
          <t>install-customer.sh: Kafka retention and topic-creation failures are each labeled distinctly</t>
        </is>
      </c>
      <c r="E39" s="6" t="inlineStr">
        <is>
          <t>Same granularity check as the install-cloud.sh Kafka test, run separately since install-customer.sh has its own independent copy of this Kafka setup code with its steps in the opposite order (retention first, then topic).</t>
        </is>
      </c>
      <c r="F39" s="6" t="inlineStr">
        <is>
          <t>Disposable Ubuntu 22.04 Docker container (not the real host) — never run against a live/shared machine.</t>
        </is>
      </c>
      <c r="G39" s="6" t="inlineStr">
        <is>
          <t>Stub 'docker exec' to always fail; run both the retention-config and topic-creation steps back to back.</t>
        </is>
      </c>
      <c r="H39" s="6" t="inlineStr">
        <is>
          <t>Fake docker executable; exec always fails with 'No such container: kafka1'</t>
        </is>
      </c>
      <c r="I39" s="6" t="inlineStr">
        <is>
          <t>Two separate, correctly-labeled warnings; script continues.</t>
        </is>
      </c>
      <c r="J39" s="6" t="inlineStr">
        <is>
          <t>Confirmed: both warnings appeared correctly labeled and in the right order, script exited 0.</t>
        </is>
      </c>
      <c r="K39" s="6" t="inlineStr">
        <is>
          <t>Passed</t>
        </is>
      </c>
      <c r="L39" s="6" t="inlineStr">
        <is>
          <t>Manual (live, isolated container)</t>
        </is>
      </c>
      <c r="M39" s="6" t="inlineStr">
        <is>
          <t>1</t>
        </is>
      </c>
      <c r="N39" s="6" t="inlineStr">
        <is>
          <t>Low</t>
        </is>
      </c>
      <c r="O39" s="6" t="inlineStr">
        <is>
          <t>Claude (isolated Docker container, not the live host)</t>
        </is>
      </c>
      <c r="P39" s="6" t="inlineStr">
        <is>
          <t>2026-09-09</t>
        </is>
      </c>
      <c r="Q39" s="6" t="inlineStr">
        <is>
          <t>No defect.</t>
        </is>
      </c>
    </row>
    <row r="40" ht="400" customHeight="1">
      <c r="A40" s="6" t="inlineStr">
        <is>
          <t>TC-039</t>
        </is>
      </c>
      <c r="B40" s="6" t="inlineStr">
        <is>
          <t>Install Scripts</t>
        </is>
      </c>
      <c r="C40" s="6" t="inlineStr">
        <is>
          <t>Full, real, end-to-end run of install-sensor.sh start to finish</t>
        </is>
      </c>
      <c r="D40" s="6" t="inlineStr">
        <is>
          <t>install-sensor.sh completes a genuine full install, not just individual branches</t>
        </is>
      </c>
      <c r="E40" s="6" t="inlineStr">
        <is>
          <t>Every prior install-script test isolated one specific step or branch. This test runs the entire, unmodified, multi-thousand-line script for real, in order, start to finish — the only way to catch a failure point that has no error handling at all to isolate and test in the first place.</t>
        </is>
      </c>
      <c r="F40" s="6" t="inlineStr">
        <is>
          <t>A privileged, systemd-enabled Docker container (jrei/systemd-ubuntu:22.04, --privileged, cgroup mount) running real systemd — not the real host. Nested Docker-in-Docker configured with the vfs storage driver (the default overlay2 driver fails on double-overlay filesystems specific to nested containers — a virtualization artifact absent on any real host/VM, not a script defect). This container's own service-autostart-blocking policy-rc.d (a standard Ubuntu container-image convention that prevents services from starting during package installs) was also removed for the same reason — a real host/VM never has this file.</t>
        </is>
      </c>
      <c r="G40" s="6" t="inlineStr">
        <is>
          <t>bash install-sensor.sh --cloud-url https://fake-cloud.example.com --tenant-id e2e-test-tenant --api-key e2e-test-key-123 --interface eth0 --mode tap  (all CLI flags provided to avoid interactive prompts; a placeholder cloud URL used since no real NDR cloud backend was available to register against). Run to completion, fixing each real failure found and re-running from scratch until a fully clean pass was achieved.</t>
        </is>
      </c>
      <c r="H40" s="6" t="inlineStr">
        <is>
          <t>Real Zeek/Suricata/Arkime/Vector/auditd packages, real opensearchproject/opensearch:2.5.0 image, real systemd units.</t>
        </is>
      </c>
      <c r="I40" s="6" t="inlineStr">
        <is>
          <t>Script reaches the 'Sensor Installation Complete' banner with exit code 0, all four engines (Agent-Z, Agent-S, Log Collector, Packet Recorder) reporting Running.</t>
        </is>
      </c>
      <c r="J40" s="6" t="inlineStr">
        <is>
          <t>FIRST RUN: died at line 279 — writing /etc/sudoers.d/ndr-iptables failed with a raw, unguarded bash error ('No such file or directory') and killed the entire script under set -e. This line had NO error handling at all — none of the 38 prior isolated-branch tests could have caught this, since there was no existing error() /record_error() call site to isolate and test. FIXED: added 'mkdir -p /etc/sudoers.d' and wrapped the write in a proper record_error() (non-fatal — ARP isolation just won't work until fixed manually).
SECOND RUN (after fix): got much further, but OpenSearch failed to start on all 5 ports with a misleading generic message ('It may be allocated by Docker') when the real cause was totally different — the nested Docker daemon wasn't reachable at all (this container's policy-rc.d blocked it from auto-starting after package install, an artifact of container-based testing, not a real host issue). This also exposed that the retry loop never captured or showed the real docker error text, just a fixed guess, regardless of actual cause. FIXED: added an upfront 'docker info' reachability check that fails fast with the real reason instead of burning through 5 misleading retries, and made the per-attempt warning show the real captured docker error instead of a generic guess.
THIRD RUN (after both fixes, real Docker now running): got all the way to the very last step — 'Registering sensor with cloud' — then died completely silently with exit code 6 and NO message at all. Root cause: 'REG=$(curl ...)' is a bare command-substitution assignment; that is NOT exempt from set -e the way if/while/&amp;&amp;/|| guards are, so when curl couldn't resolve the placeholder cloud URL (exit 6), the assignment itself killed the whole script instantly — right after Zeek, Suricata, Arkime, Vector, auditd, and OpenSearch had ALL already installed and started successfully. This is the single most impactful defect found in this entire testing effort: on a real deployment, a transient DNS hiccup or a temporary cloud outage during this last, non-essential step would silently wipe out an otherwise 100%-successful install with no explanation. FIXED: wrapped the curl call so a failure can't trigger set -e, and treated cloud registration as correctly non-fatal (record_error, with a manual re-registration command) since the sensor is already fully functional locally by this point.
FOURTH RUN (after all three fixes): the record_error message showed a BLANK reason again — same root cause as the earlier wget -q bug, but this time 'curl -s' (silent mode suppresses error text too, not just the progress meter). FIXED: changed to 'curl -sS' (silent but still shows errors).
FIFTH RUN: completed successfully — reached 'Sensor Installation Complete' with exit code 0, all four engines confirmed Running, real OpenSearch cluster green, real Arkime admin user created, real Zeek/Suricata rules configured and running, cloud-registration failure (expected, since the cloud URL is a placeholder) logged clearly and non-fatally exactly as designed.</t>
        </is>
      </c>
      <c r="K40" s="6" t="inlineStr">
        <is>
          <t>Passed</t>
        </is>
      </c>
      <c r="L40" s="6" t="inlineStr">
        <is>
          <t>Manual (live, isolated privileged container — full real execution, not an isolated branch)</t>
        </is>
      </c>
      <c r="M40" s="6" t="inlineStr">
        <is>
          <t>5 (each of the first 4 runs found one genuine defect via real execution; the 5th ran clean end-to-end)</t>
        </is>
      </c>
      <c r="N40" s="6" t="inlineStr">
        <is>
          <t>High</t>
        </is>
      </c>
      <c r="O40" s="6" t="inlineStr">
        <is>
          <t>Claude (isolated privileged Docker container, not the live host)</t>
        </is>
      </c>
      <c r="P40" s="6" t="inlineStr">
        <is>
          <t>2026-09-09</t>
        </is>
      </c>
      <c r="Q40" s="6" t="inlineStr">
        <is>
          <t>4 DEFECTS FOUND &amp; FIXED, none of which any prior isolated-branch test could have caught (each either had zero existing error handling, or a downstream message-capture bug only visible once the whole script's real state was in play): (1) unguarded /etc/sudoers.d write with no error handling at all: (2) OpenSearch retry loop showing a misleading generic message instead of the real Docker error; (3) THE BIG ONE — a bare curl command-substitution silently killing the entire script on the final step via set -e, discarding an otherwise fully successful install; (4) curl -s (vs -sS) swallowing its own error text in that same fixed step. This test justified the time cost of a real end-to-end run — it found real, high-impact gaps that the 38 targeted branch tests structurally could not reach, because those tests can only exercise error handling that already exists to isolate.</t>
        </is>
      </c>
    </row>
  </sheetData>
  <conditionalFormatting sqref="K2:K500">
    <cfRule type="cellIs" priority="1" operator="equal" dxfId="0">
      <formula>"Passed"</formula>
    </cfRule>
    <cfRule type="cellIs" priority="2" operator="equal" dxfId="1">
      <formula>"Failed"</formula>
    </cfRule>
    <cfRule type="cellIs" priority="3" operator="equal" dxfId="2">
      <formula>"Blocked"</formula>
    </cfRule>
    <cfRule type="cellIs" priority="4" operator="equal" dxfId="3">
      <formula>"Not Executed"</formula>
    </cfRule>
  </conditionalFormatting>
  <dataValidations count="3">
    <dataValidation sqref="K2:K500" showDropDown="0" showInputMessage="0" showErrorMessage="0" allowBlank="1" type="list">
      <formula1>"Passed,Failed,Blocked,Not Executed"</formula1>
    </dataValidation>
    <dataValidation sqref="L2:L500" showDropDown="0" showInputMessage="0" showErrorMessage="0" allowBlank="1" type="list">
      <formula1>"Critical,High,Medium,Low"</formula1>
    </dataValidation>
    <dataValidation sqref="L2:L500" showDropDown="0" showInputMessage="0" showErrorMessage="0" allowBlank="1" type="list">
      <formula1>"Manual (live UI/API),Automated (script/CI),Static (binary),Static (bundle),Static (build order)"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Test Case Tracker — Format Guide</t>
        </is>
      </c>
    </row>
    <row r="3" ht="34" customHeight="1">
      <c r="A3" s="7" t="inlineStr">
        <is>
          <t>Standard followed</t>
        </is>
      </c>
      <c r="B3" s="8" t="inlineStr">
        <is>
          <t>ISTQB / IEEE 829 style test case specification — the same shape used by TestRail, Zephyr, qTest, and most enterprise QA teams.</t>
        </is>
      </c>
    </row>
    <row r="4" ht="8" customHeight="1">
      <c r="A4" s="9" t="inlineStr"/>
      <c r="B4" s="8" t="inlineStr"/>
    </row>
    <row r="5" ht="34" customHeight="1">
      <c r="A5" s="7" t="inlineStr">
        <is>
          <t>Column</t>
        </is>
      </c>
      <c r="B5" s="8" t="inlineStr">
        <is>
          <t>Meaning</t>
        </is>
      </c>
    </row>
    <row r="6" ht="34" customHeight="1">
      <c r="A6" s="9" t="inlineStr">
        <is>
          <t>Test Case ID</t>
        </is>
      </c>
      <c r="B6" s="8" t="inlineStr">
        <is>
          <t>Unique, sequential, never reused (TC-001, TC-002, ...). Referenced from bug reports and traceability matrices.</t>
        </is>
      </c>
    </row>
    <row r="7" ht="34" customHeight="1">
      <c r="A7" s="9" t="inlineStr">
        <is>
          <t>Module / Feature</t>
        </is>
      </c>
      <c r="B7" s="8" t="inlineStr">
        <is>
          <t>Which part of the product this covers (Alerts, SOAR, Rules, Auth, ...).</t>
        </is>
      </c>
    </row>
    <row r="8" ht="34" customHeight="1">
      <c r="A8" s="9" t="inlineStr">
        <is>
          <t>Test Scenario</t>
        </is>
      </c>
      <c r="B8" s="8" t="inlineStr">
        <is>
          <t>The high-level behavior under test — one scenario can have several test cases (happy path, edge case, negative case).</t>
        </is>
      </c>
    </row>
    <row r="9" ht="34" customHeight="1">
      <c r="A9" s="9" t="inlineStr">
        <is>
          <t>Test Case Title</t>
        </is>
      </c>
      <c r="B9" s="8" t="inlineStr">
        <is>
          <t>Short, specific, searchable name for this exact case.</t>
        </is>
      </c>
    </row>
    <row r="10" ht="34" customHeight="1">
      <c r="A10" s="9" t="inlineStr">
        <is>
          <t>Description</t>
        </is>
      </c>
      <c r="B10" s="8" t="inlineStr">
        <is>
          <t>What is being verified and why it matters.</t>
        </is>
      </c>
    </row>
    <row r="11" ht="34" customHeight="1">
      <c r="A11" s="9" t="inlineStr">
        <is>
          <t>Preconditions</t>
        </is>
      </c>
      <c r="B11" s="8" t="inlineStr">
        <is>
          <t>State that must exist before running this case (login, data seeded, etc.).</t>
        </is>
      </c>
    </row>
    <row r="12" ht="34" customHeight="1">
      <c r="A12" s="9" t="inlineStr">
        <is>
          <t>Test Steps / Script</t>
        </is>
      </c>
      <c r="B12" s="8" t="inlineStr">
        <is>
          <t>Numbered, reproducible steps — or an actual script/command block when the case is automatable (curl, API call, CLI command).</t>
        </is>
      </c>
    </row>
    <row r="13" ht="34" customHeight="1">
      <c r="A13" s="9" t="inlineStr">
        <is>
          <t>Test Data</t>
        </is>
      </c>
      <c r="B13" s="8" t="inlineStr">
        <is>
          <t>Concrete inputs used for this run (specific IP, payload, username, etc.).</t>
        </is>
      </c>
    </row>
    <row r="14" ht="34" customHeight="1">
      <c r="A14" s="9" t="inlineStr">
        <is>
          <t>Expected Result</t>
        </is>
      </c>
      <c r="B14" s="8" t="inlineStr">
        <is>
          <t>What should happen if the feature works correctly.</t>
        </is>
      </c>
    </row>
    <row r="15" ht="34" customHeight="1">
      <c r="A15" s="9" t="inlineStr">
        <is>
          <t>Actual Result</t>
        </is>
      </c>
      <c r="B15" s="8" t="inlineStr">
        <is>
          <t>What actually happened — filled in during execution, not in advance.</t>
        </is>
      </c>
    </row>
    <row r="16" ht="34" customHeight="1">
      <c r="A16" s="9" t="inlineStr">
        <is>
          <t>Status</t>
        </is>
      </c>
      <c r="B16" s="8" t="inlineStr">
        <is>
          <t>Passed / Failed / Blocked / Not Executed. Blocked = couldn't run (e.g. dependency broken or feature not built yet), distinct from Failed.</t>
        </is>
      </c>
    </row>
    <row r="17" ht="60" customHeight="1">
      <c r="A17" s="7" t="inlineStr">
        <is>
          <t>Verification Method</t>
        </is>
      </c>
      <c r="B17" s="8" t="inlineStr">
        <is>
          <t>HOW the Status was determined — critical distinction. "Static (binary/bundle)" means the fix was confirmed present in the deployed build/bundle but NOT exercised through a live login/click-through or authenticated API call. "Manual (live UI/API)" or "Automated (script/CI)" mean it was actually executed end-to-end. A Status of Passed with a Static method is a weaker claim than the same Status with a live method — always re-run Static-passed cases with a live method before final sign-off.</t>
        </is>
      </c>
    </row>
    <row r="18" ht="34" customHeight="1">
      <c r="A18" s="9" t="inlineStr">
        <is>
          <t>Priority</t>
        </is>
      </c>
      <c r="B18" s="8" t="inlineStr">
        <is>
          <t>Critical / High / Medium / Low — drives what gets fixed/retested first.</t>
        </is>
      </c>
    </row>
    <row r="19" ht="34" customHeight="1">
      <c r="A19" s="9" t="inlineStr">
        <is>
          <t>Executed By</t>
        </is>
      </c>
      <c r="B19" s="8" t="inlineStr">
        <is>
          <t>Tester name — accountability + who to ask about the result.</t>
        </is>
      </c>
    </row>
    <row r="20" ht="34" customHeight="1">
      <c r="A20" s="9" t="inlineStr">
        <is>
          <t>Execution Date</t>
        </is>
      </c>
      <c r="B20" s="8" t="inlineStr">
        <is>
          <t>When the case was actually run (not authored).</t>
        </is>
      </c>
    </row>
    <row r="21" ht="8" customHeight="1">
      <c r="A21" s="9" t="inlineStr">
        <is>
          <t>Defect ID / Remarks</t>
        </is>
      </c>
      <c r="B21" s="8" t="inlineStr">
        <is>
          <t>Link/ID to the bug tracker entry if Failed, or free-text notes.</t>
        </is>
      </c>
    </row>
    <row r="22" ht="34" customHeight="1">
      <c r="A22" s="9" t="inlineStr"/>
      <c r="B22" s="8" t="inlineStr"/>
    </row>
    <row r="23">
      <c r="A23" s="7" t="inlineStr">
        <is>
          <t>Workflow</t>
        </is>
      </c>
      <c r="B23" s="8" t="inlineStr">
        <is>
          <t>1) Write cases before testing (Status = Not Executed). 2) Execute and fill Actual Result + Status + Executed By + Date as you go. 3) File a defect for every Failed case and record its ID here. 4) Re-run failed cases after a fix ships — same row, update Status, keep the old Actual Result in Remarks if useful for history.</t>
        </is>
      </c>
    </row>
    <row r="25" ht="60" customHeight="1">
      <c r="A25" s="2" t="inlineStr">
        <is>
          <t>Verification Method</t>
        </is>
      </c>
      <c r="B25" s="8" t="inlineStr">
        <is>
          <t>How the Status was actually determined. Manual (live UI/API) and Automated (script/CI) are real functional test execution. Static (binary/bundle/build order) means the fix was confirmed present in the deployed artifact by inspection, NOT by actually running the feature end-to-end - useful for confirming a deploy landed, but weaker evidence than a real functional pass. Do not treat a Static verification as equivalent to a full QA sign-off.</t>
        </is>
      </c>
    </row>
    <row r="26" ht="50" customHeight="1">
      <c r="A26" s="2" t="inlineStr">
        <is>
          <t>Iterations (fix-test cycles)</t>
        </is>
      </c>
      <c r="B26" s="8" t="inlineStr">
        <is>
          <t>How many find-a-bug -&gt; fix -&gt; retest rounds it took to reach the recorded Status, and (in Remarks or this column) how many individual test runs that represents. A case that passed first try is 1. A case where the first attempt failed, was fixed, and then verified again is 2, and so on - this is a real defect-density/rework signal worth tracking over time, not just a curiosity.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2026-09-09T04:25:22Z</dcterms:created>
  <dcterms:modified xsi:type="dcterms:W3CDTF">2026-09-09T10:07:10Z</dcterms:modified>
</cp:coreProperties>
</file>