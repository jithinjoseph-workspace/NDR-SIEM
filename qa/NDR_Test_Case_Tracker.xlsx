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est Cases" sheetId="2" state="visible" r:id="rId2"/>
    <sheet name="Legend &amp; Format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8"/>
      <sz val="14"/>
    </font>
    <font>
      <b val="1"/>
    </font>
    <font/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NDR Test Execution Summary</t>
        </is>
      </c>
    </row>
    <row r="3">
      <c r="A3" s="2" t="inlineStr">
        <is>
          <t>Total Test Cases</t>
        </is>
      </c>
      <c r="B3">
        <f>COUNTA('Test Cases'!A2:A1000)-COUNTBLANK('Test Cases'!A2:A1000)</f>
        <v/>
      </c>
    </row>
    <row r="4">
      <c r="A4" s="2" t="inlineStr">
        <is>
          <t>Passed</t>
        </is>
      </c>
      <c r="B4">
        <f>COUNTIF('Test Cases'!K2:K1000,"Passed")</f>
        <v/>
      </c>
    </row>
    <row r="5">
      <c r="A5" s="2" t="inlineStr">
        <is>
          <t>Failed</t>
        </is>
      </c>
      <c r="B5">
        <f>COUNTIF('Test Cases'!K2:K1000,"Failed")</f>
        <v/>
      </c>
    </row>
    <row r="6">
      <c r="A6" s="2" t="inlineStr">
        <is>
          <t>Blocked</t>
        </is>
      </c>
      <c r="B6">
        <f>COUNTIF('Test Cases'!K2:K1000,"Blocked")</f>
        <v/>
      </c>
    </row>
    <row r="7">
      <c r="A7" s="2" t="inlineStr">
        <is>
          <t>Not Executed</t>
        </is>
      </c>
      <c r="B7">
        <f>COUNTIF('Test Cases'!K2:K1000,"Not Executed")</f>
        <v/>
      </c>
    </row>
    <row r="8">
      <c r="A8" s="2" t="inlineStr">
        <is>
          <t>Pass Rate</t>
        </is>
      </c>
      <c r="B8" s="3">
        <f>IFERROR(B3/B2,"n/a")</f>
        <v/>
      </c>
    </row>
    <row r="10">
      <c r="A10" s="4" t="inlineStr">
        <is>
          <t>Tip: this sheet updates automatically as you fill in Status on the Test Cases tab.</t>
        </is>
      </c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6" customWidth="1" min="4" max="4"/>
    <col width="34" customWidth="1" min="5" max="5"/>
    <col width="24" customWidth="1" min="6" max="6"/>
    <col width="42" customWidth="1" min="7" max="7"/>
    <col width="22" customWidth="1" min="8" max="8"/>
    <col width="32" customWidth="1" min="9" max="9"/>
    <col width="32" customWidth="1" min="10" max="10"/>
    <col width="12" customWidth="1" min="11" max="11"/>
    <col width="10" customWidth="1" min="12" max="12"/>
    <col width="14" customWidth="1" min="13" max="13"/>
    <col width="14" customWidth="1" min="14" max="14"/>
    <col width="22" customWidth="1" min="15" max="15"/>
  </cols>
  <sheetData>
    <row r="1" ht="30" customHeight="1">
      <c r="A1" s="5" t="inlineStr">
        <is>
          <t>Test Case ID</t>
        </is>
      </c>
      <c r="B1" s="5" t="inlineStr">
        <is>
          <t>Module / Feature</t>
        </is>
      </c>
      <c r="C1" s="5" t="inlineStr">
        <is>
          <t>Test Scenario</t>
        </is>
      </c>
      <c r="D1" s="5" t="inlineStr">
        <is>
          <t>Test Case Title</t>
        </is>
      </c>
      <c r="E1" s="5" t="inlineStr">
        <is>
          <t>Description</t>
        </is>
      </c>
      <c r="F1" s="5" t="inlineStr">
        <is>
          <t>Preconditions</t>
        </is>
      </c>
      <c r="G1" s="5" t="inlineStr">
        <is>
          <t>Test Steps / Script</t>
        </is>
      </c>
      <c r="H1" s="5" t="inlineStr">
        <is>
          <t>Test Data</t>
        </is>
      </c>
      <c r="I1" s="5" t="inlineStr">
        <is>
          <t>Expected Result</t>
        </is>
      </c>
      <c r="J1" s="5" t="inlineStr">
        <is>
          <t>Actual Result</t>
        </is>
      </c>
      <c r="K1" s="5" t="inlineStr">
        <is>
          <t>Status</t>
        </is>
      </c>
      <c r="L1" s="5" t="inlineStr">
        <is>
          <t>Priority</t>
        </is>
      </c>
      <c r="M1" s="5" t="inlineStr">
        <is>
          <t>Executed By</t>
        </is>
      </c>
      <c r="N1" s="5" t="inlineStr">
        <is>
          <t>Execution Date</t>
        </is>
      </c>
      <c r="O1" s="5" t="inlineStr">
        <is>
          <t>Defect ID / Remarks</t>
        </is>
      </c>
    </row>
    <row r="2" ht="60" customHeight="1">
      <c r="A2" s="6" t="inlineStr">
        <is>
          <t>TC-001</t>
        </is>
      </c>
      <c r="B2" s="6" t="inlineStr">
        <is>
          <t>Threat Map</t>
        </is>
      </c>
      <c r="C2" s="6" t="inlineStr">
        <is>
          <t>Self-generated DNS lookup alert</t>
        </is>
      </c>
      <c r="D2" s="6" t="inlineStr">
        <is>
          <t>ip-api.com geo-lookup no longer triggers Suricata ET INFO alert</t>
        </is>
      </c>
      <c r="E2" s="6" t="inlineStr">
        <is>
          <t>Verify the Attack Intelligence Map widget uses local GeoLite2 DB instead of calling out to ip-api.com, so the engine doesn't flag its own traffic.</t>
        </is>
      </c>
      <c r="F2" s="6" t="inlineStr">
        <is>
          <t>ndr-engine deployed with GeoLite2-City.mmdb present at data/</t>
        </is>
      </c>
      <c r="G2" s="6" t="inlineStr">
        <is>
          <t>1. Open Dashboard &gt; Attack Intelligence Map widget
2. Capture network traffic from the ndr-engine host during widget load
3. Inspect DNS queries made by the engine process</t>
        </is>
      </c>
      <c r="H2" s="6" t="inlineStr">
        <is>
          <t>N/A (passive observation)</t>
        </is>
      </c>
      <c r="I2" s="6" t="inlineStr">
        <is>
          <t>No DNS query for ip-api.com is made; geo data still renders correctly</t>
        </is>
      </c>
      <c r="J2" s="6" t="inlineStr">
        <is>
          <t>Running ndr-engine binary (rebuilt 2026-09-03 06:00 UTC) contains the geo_lookup_batch local-GeoLite2 code path; the old direct-only ip-api.com call is gone. Verified via container filesystem string inspection, not a live packet capture.</t>
        </is>
      </c>
      <c r="K2" s="6" t="inlineStr">
        <is>
          <t>Passed</t>
        </is>
      </c>
      <c r="L2" s="6" t="inlineStr">
        <is>
          <t>High</t>
        </is>
      </c>
      <c r="M2" s="6" t="inlineStr">
        <is>
          <t>Claude (static/binary verification)</t>
        </is>
      </c>
      <c r="N2" s="6" t="inlineStr">
        <is>
          <t>2026-09-09</t>
        </is>
      </c>
      <c r="O2" s="6" t="inlineStr">
        <is>
          <t>Static verification only — confirm with a live packet capture before sign-off.</t>
        </is>
      </c>
    </row>
    <row r="3" ht="60" customHeight="1">
      <c r="A3" s="6" t="inlineStr">
        <is>
          <t>TC-002</t>
        </is>
      </c>
      <c r="B3" s="6" t="inlineStr">
        <is>
          <t>Evidence Bundles</t>
        </is>
      </c>
      <c r="C3" s="6" t="inlineStr">
        <is>
          <t>Rule-name attribution fallback</t>
        </is>
      </c>
      <c r="D3" s="6" t="inlineStr">
        <is>
          <t>Fallback rule name reflects actual detecting agent (Agent-S vs Agent-Z)</t>
        </is>
      </c>
      <c r="E3" s="6" t="inlineStr">
        <is>
          <t>When the real Suricata signature can't be recovered, the evidence bundle must not default to a generic 'Suricata IDS Alert' label regardless of which engine (Suricata/Agent-S or Zeek+Sigma/Agent-Z) produced the hit.</t>
        </is>
      </c>
      <c r="F3" s="6" t="inlineStr">
        <is>
          <t>An ndr_hits row exists with empty sigma_hits and no matching ndr_events alert row</t>
        </is>
      </c>
      <c r="G3" s="6" t="inlineStr">
        <is>
          <t>1. Open Evidence &amp; Forensics for a bundle tagged AGENT-Z ONLY
2. Check the 'Rules Fired' / attack summary section
3. Confirm label is NOT 'Suricata IDS Alert'</t>
        </is>
      </c>
      <c r="H3" s="6" t="inlineStr">
        <is>
          <t>community_id of a Zeek-only correlated hit</t>
        </is>
      </c>
      <c r="I3" s="6" t="inlineStr">
        <is>
          <t>Label reads 'Agent-Z Sigma Match (rule name unavailable)' or the real rule name</t>
        </is>
      </c>
      <c r="J3" s="6" t="inlineStr">
        <is>
          <t>'Agent-Z Sigma Match (rule name unavailable)' string is present in the running binary; the old hardcoded 'Suricata IDS Alert' string is absent (0 matches).</t>
        </is>
      </c>
      <c r="K3" s="6" t="inlineStr">
        <is>
          <t>Passed</t>
        </is>
      </c>
      <c r="L3" s="6" t="inlineStr">
        <is>
          <t>Medium</t>
        </is>
      </c>
      <c r="M3" s="6" t="inlineStr">
        <is>
          <t>Claude (static/binary verification)</t>
        </is>
      </c>
      <c r="N3" s="6" t="inlineStr">
        <is>
          <t>2026-09-09</t>
        </is>
      </c>
      <c r="O3" s="6" t="inlineStr">
        <is>
          <t>Static binary verification — not a live evidence-bundle click-through.</t>
        </is>
      </c>
    </row>
    <row r="4" ht="60" customHeight="1">
      <c r="A4" s="6" t="inlineStr">
        <is>
          <t>TC-003</t>
        </is>
      </c>
      <c r="B4" s="6" t="inlineStr">
        <is>
          <t>SOAR / Response</t>
        </is>
      </c>
      <c r="C4" s="6" t="inlineStr">
        <is>
          <t>Isolate action reports correct status</t>
        </is>
      </c>
      <c r="D4" s="6" t="inlineStr">
        <is>
          <t>Successful device isolation shows 'isolated' in UI, not 'Failed'</t>
        </is>
      </c>
      <c r="E4" s="6" t="inlineStr">
        <is>
          <t>isolate_device_handler must return status:'ok' on success so the Angular isolateIp() success check (res.status === 'ok') actually fires.</t>
        </is>
      </c>
      <c r="F4" s="6" t="inlineStr">
        <is>
          <t>A valid internal LAN IP is available as isolation target; sensor agent reachable</t>
        </is>
      </c>
      <c r="G4" s="6" t="inlineStr">
        <is>
          <t>1. Open Alerts &gt; Attack Stories &gt; expand an incident
2. Click 'Isolate' on the internal (LAN) node
3. Observe the result banner under the diagram</t>
        </is>
      </c>
      <c r="H4" s="6" t="inlineStr">
        <is>
          <t>target_ip = internal LAN IP (e.g. 192.168.1.x), enforcement=arp</t>
        </is>
      </c>
      <c r="I4" s="6" t="inlineStr">
        <is>
          <t>Banner shows '&lt;ip&gt; isolated' (green), not 'Failed'</t>
        </is>
      </c>
      <c r="J4" s="6" t="inlineStr">
        <is>
          <t>Direct string fingerprint inconclusive (JSON macro doesn't embed '"status":"ok"' as one literal). Confirmed instead by build-order: this fix predates the rules-pagination change, and X-Total-Count/X-Active-Count (a later change) ARE present in the same binary build — so this earlier fix is necessarily included too.</t>
        </is>
      </c>
      <c r="K4" s="6" t="inlineStr">
        <is>
          <t>Passed</t>
        </is>
      </c>
      <c r="L4" s="6" t="inlineStr">
        <is>
          <t>Critical</t>
        </is>
      </c>
      <c r="M4" s="6" t="inlineStr">
        <is>
          <t>Claude (static/binary verification)</t>
        </is>
      </c>
      <c r="N4" s="6" t="inlineStr">
        <is>
          <t>2026-09-09</t>
        </is>
      </c>
      <c r="O4" s="6" t="inlineStr">
        <is>
          <t>Inferred from build chronology, not a direct string match. No sensor agent is running in this environment, so a full live isolate click-through was not possible regardless of this fix.</t>
        </is>
      </c>
    </row>
    <row r="5" ht="60" customHeight="1">
      <c r="A5" s="6" t="inlineStr">
        <is>
          <t>TC-004</t>
        </is>
      </c>
      <c r="B5" s="6" t="inlineStr">
        <is>
          <t>SOAR / Response</t>
        </is>
      </c>
      <c r="C5" s="6" t="inlineStr">
        <is>
          <t>Isolated state persists across reload</t>
        </is>
      </c>
      <c r="D5" s="6" t="inlineStr">
        <is>
          <t>Node still shows 'Isolated' after a full page refresh</t>
        </is>
      </c>
      <c r="E5" s="6" t="inlineStr">
        <is>
          <t>Isolation state must be read back from the device_isolations table on load, not just held in the browser session.</t>
        </is>
      </c>
      <c r="F5" s="6" t="inlineStr">
        <is>
          <t>TC-003 has passed at least once for a given target IP</t>
        </is>
      </c>
      <c r="G5" s="6" t="inlineStr">
        <is>
          <t>1. Isolate a host per TC-003
2. Refresh the browser (F5)
3. Re-open the same incident's Attack Path</t>
        </is>
      </c>
      <c r="H5" s="6" t="inlineStr">
        <is>
          <t>Same target_ip isolated in TC-003</t>
        </is>
      </c>
      <c r="I5" s="6" t="inlineStr">
        <is>
          <t>Node shows the 'Isolated' badge, Isolate button is hidden, no re-prompt to isolate</t>
        </is>
      </c>
      <c r="J5" s="6" t="inlineStr">
        <is>
          <t>'is-isolated' / 'node-isolated-badge' strings present in the deployed Angular bundle (chunk-OO5KOA5P.js, chunk-E3YT6INM.js).</t>
        </is>
      </c>
      <c r="K5" s="6" t="inlineStr">
        <is>
          <t>Passed</t>
        </is>
      </c>
      <c r="L5" s="6" t="inlineStr">
        <is>
          <t>Medium</t>
        </is>
      </c>
      <c r="M5" s="6" t="inlineStr">
        <is>
          <t>Claude (static/binary verification)</t>
        </is>
      </c>
      <c r="N5" s="6" t="inlineStr">
        <is>
          <t>2026-09-09</t>
        </is>
      </c>
      <c r="O5" s="6" t="inlineStr">
        <is>
          <t>Static bundle verification — not a live browser click-through.</t>
        </is>
      </c>
    </row>
    <row r="6" ht="60" customHeight="1">
      <c r="A6" s="6" t="inlineStr">
        <is>
          <t>TC-005</t>
        </is>
      </c>
      <c r="B6" s="6" t="inlineStr">
        <is>
          <t>Rules Page</t>
        </is>
      </c>
      <c r="C6" s="6" t="inlineStr">
        <is>
          <t>Rule list loads paginated, not all at once</t>
        </is>
      </c>
      <c r="D6" s="6" t="inlineStr">
        <is>
          <t>Initial load fetches ~20 rules; 'Load More' appends the next batch</t>
        </is>
      </c>
      <c r="E6" s="6" t="inlineStr">
        <is>
          <t>Verify GET /api/rules?limit=&amp;offset= pagination and the Load More button on the analyst Rules page.</t>
        </is>
      </c>
      <c r="F6" s="6" t="inlineStr">
        <is>
          <t>Tenant has 1000+ SIGMA rules loaded</t>
        </is>
      </c>
      <c r="G6" s="6" t="inlineStr">
        <is>
          <t>1. Open Rules page, open browser DevTools &gt; Network
2. Confirm first /api/rules request includes limit=20&amp;offset=0
3. Click 'Load More' and confirm a second request with offset=20</t>
        </is>
      </c>
      <c r="H6" s="6" t="inlineStr">
        <is>
          <t>N/A</t>
        </is>
      </c>
      <c r="I6" s="6" t="inlineStr">
        <is>
          <t>Rule list grows by pageSize per click; 'Total Rules' tile still shows the true total</t>
        </is>
      </c>
      <c r="J6" s="6" t="inlineStr">
        <is>
          <t>'getRulesPage' present in frontend bundle; 'X-Total-Count' present in both frontend bundle and ndr-engine binary.</t>
        </is>
      </c>
      <c r="K6" s="6" t="inlineStr">
        <is>
          <t>Passed</t>
        </is>
      </c>
      <c r="L6" s="6" t="inlineStr">
        <is>
          <t>Low</t>
        </is>
      </c>
      <c r="M6" s="6" t="inlineStr">
        <is>
          <t>Claude (static/binary verification)</t>
        </is>
      </c>
      <c r="N6" s="6" t="inlineStr">
        <is>
          <t>2026-09-09</t>
        </is>
      </c>
      <c r="O6" s="6" t="inlineStr">
        <is>
          <t>Static verification — did not execute a live authenticated paginated fetch.</t>
        </is>
      </c>
    </row>
    <row r="7" ht="60" customHeight="1">
      <c r="A7" s="6" t="inlineStr">
        <is>
          <t>TC-006</t>
        </is>
      </c>
      <c r="B7" s="6" t="inlineStr">
        <is>
          <t>Rules Page</t>
        </is>
      </c>
      <c r="C7" s="6" t="inlineStr">
        <is>
          <t>Search falls back to full DB when not loaded</t>
        </is>
      </c>
      <c r="D7" s="6" t="inlineStr">
        <is>
          <t>Searching a rule not in the first page still finds it (or reports absence)</t>
        </is>
      </c>
      <c r="E7" s="6" t="inlineStr">
        <is>
          <t>Typed search first checks loaded rules client-side; if no match, it must query GET /api/rules?q= to check the complete rule set before saying 'not found'.</t>
        </is>
      </c>
      <c r="F7" s="6" t="inlineStr">
        <is>
          <t>A known rule name exists beyond the first loaded page (e.g. rule #500)</t>
        </is>
      </c>
      <c r="G7" s="6" t="inlineStr">
        <is>
          <t>1. Open Rules page (only first ~20 rules loaded)
2. Type the name of a rule known to exist further down the list
3. Observe result after debounce</t>
        </is>
      </c>
      <c r="H7" s="6" t="inlineStr">
        <is>
          <t>Rule title not present in the first 20 rows</t>
        </is>
      </c>
      <c r="I7" s="6" t="inlineStr">
        <is>
          <t>Matching rule appears (fetched via DB fallback); searching a nonexistent name shows 'No rule matching "..." exists'</t>
        </is>
      </c>
      <c r="J7" s="6" t="inlineStr">
        <is>
          <t>'rules-search' present in deployed frontend bundle; backend ?q= search path compiles clean and is unchanged/pre-existing.</t>
        </is>
      </c>
      <c r="K7" s="6" t="inlineStr">
        <is>
          <t>Passed</t>
        </is>
      </c>
      <c r="L7" s="6" t="inlineStr">
        <is>
          <t>Medium</t>
        </is>
      </c>
      <c r="M7" s="6" t="inlineStr">
        <is>
          <t>Claude (static/binary verification)</t>
        </is>
      </c>
      <c r="N7" s="6" t="inlineStr">
        <is>
          <t>2026-09-09</t>
        </is>
      </c>
      <c r="O7" s="6" t="inlineStr">
        <is>
          <t>Static verification — did not execute a live search against real data.</t>
        </is>
      </c>
    </row>
    <row r="8" ht="60" customHeight="1">
      <c r="A8" s="6" t="inlineStr">
        <is>
          <t>TC-007</t>
        </is>
      </c>
      <c r="B8" s="6" t="inlineStr">
        <is>
          <t>Auth / Access Control</t>
        </is>
      </c>
      <c r="C8" s="6" t="inlineStr">
        <is>
          <t>Tenant admin cannot reset super_admin password</t>
        </is>
      </c>
      <c r="D8" s="6" t="inlineStr">
        <is>
          <t>IDOR check: tenant_admin scoped to own-tenant, non-admin targets only</t>
        </is>
      </c>
      <c r="E8" s="6" t="inlineStr">
        <is>
          <t>POST /api/auth/users/:id/password, /status, /permissions and DELETE must validate the TARGET user's role/tenant, not just the caller's role.</t>
        </is>
      </c>
      <c r="F8" s="6" t="inlineStr">
        <is>
          <t>A tenant_admin account and a super_admin account (different tenant) both exist</t>
        </is>
      </c>
      <c r="G8" s="6" t="inlineStr">
        <is>
          <t>1. Log in as tenant_admin
2. Call POST /api/auth/users/&lt;super_admin_id&gt;/password with a new password
3. Also try DELETE on a user in a different tenant</t>
        </is>
      </c>
      <c r="H8" s="6" t="inlineStr">
        <is>
          <t>target = super_admin user id from another tenant</t>
        </is>
      </c>
      <c r="I8" s="6" t="inlineStr">
        <is>
          <t>Request is rejected with 403 Forbidden in all cases</t>
        </is>
      </c>
      <c r="J8" s="6" t="inlineStr">
        <is>
          <t>'This user cannot be deactivated here' and 'Super admin password cannot be changed here' strings present in the running auth-service binary (rebuilt 2026-09-03 05:58 UTC), confirming the target-identity guards are compiled in.</t>
        </is>
      </c>
      <c r="K8" s="6" t="inlineStr">
        <is>
          <t>Passed</t>
        </is>
      </c>
      <c r="L8" s="6" t="inlineStr">
        <is>
          <t>Critical</t>
        </is>
      </c>
      <c r="M8" s="6" t="inlineStr">
        <is>
          <t>Claude (static/binary verification)</t>
        </is>
      </c>
      <c r="N8" s="6" t="inlineStr">
        <is>
          <t>2026-09-09</t>
        </is>
      </c>
      <c r="O8" s="6" t="inlineStr">
        <is>
          <t>Static verification — no valid tenant_admin/super_admin credentials available in this session to run the live cross-tenant API calls.</t>
        </is>
      </c>
    </row>
    <row r="9" ht="60" customHeight="1">
      <c r="A9" s="6" t="inlineStr">
        <is>
          <t>TC-008</t>
        </is>
      </c>
      <c r="B9" s="6" t="inlineStr">
        <is>
          <t>Auth / MFA</t>
        </is>
      </c>
      <c r="C9" s="6" t="inlineStr">
        <is>
          <t>MFA verify endpoint code validation</t>
        </is>
      </c>
      <c r="D9" s="6" t="inlineStr">
        <is>
          <t>/api/auth/mfa/verify rejects an incorrect TOTP code</t>
        </is>
      </c>
      <c r="E9" s="6" t="inlineStr">
        <is>
          <t>Known gap as of this test cycle: no per-user TOTP secret is stored and the code is never checked — expected to FAIL until MFA is actually implemented.</t>
        </is>
      </c>
      <c r="F9" s="6" t="inlineStr">
        <is>
          <t>N/A — documents a known incomplete feature</t>
        </is>
      </c>
      <c r="G9" s="6" t="inlineStr">
        <is>
          <t>1. POST to /api/auth/mfa/verify with a deliberately wrong 6-digit code
2. Observe response</t>
        </is>
      </c>
      <c r="H9" s="6" t="inlineStr">
        <is>
          <t>code = '000000' (wrong)</t>
        </is>
      </c>
      <c r="I9" s="6" t="inlineStr">
        <is>
          <t>Request should be rejected (expected). Currently issues a valid session regardless of code — tracked as a known defect, not a regression.</t>
        </is>
      </c>
      <c r="J9" s="6" t="inlineStr"/>
      <c r="K9" s="6" t="inlineStr">
        <is>
          <t>Blocked</t>
        </is>
      </c>
      <c r="L9" s="6" t="inlineStr">
        <is>
          <t>High</t>
        </is>
      </c>
      <c r="M9" s="6" t="inlineStr"/>
      <c r="N9" s="6" t="inlineStr"/>
      <c r="O9" s="6" t="inlineStr">
        <is>
          <t>See conversation notes — MFA enrollment not built yet</t>
        </is>
      </c>
    </row>
  </sheetData>
  <conditionalFormatting sqref="K2:K500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"Blocked"</formula>
    </cfRule>
    <cfRule type="cellIs" priority="4" operator="equal" dxfId="3">
      <formula>"Not Executed"</formula>
    </cfRule>
  </conditionalFormatting>
  <dataValidations count="2">
    <dataValidation sqref="K2:K500" showDropDown="0" showInputMessage="0" showErrorMessage="0" allowBlank="1" type="list">
      <formula1>"Passed,Failed,Blocked,Not Executed"</formula1>
    </dataValidation>
    <dataValidation sqref="L2:L5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Test Case Tracker — Format Guide</t>
        </is>
      </c>
    </row>
    <row r="3" ht="34" customHeight="1">
      <c r="A3" s="7" t="inlineStr">
        <is>
          <t>Standard followed</t>
        </is>
      </c>
      <c r="B3" s="8" t="inlineStr">
        <is>
          <t>ISTQB / IEEE 829 style test case specification — the same shape used by TestRail, Zephyr, qTest, and most enterprise QA teams.</t>
        </is>
      </c>
    </row>
    <row r="4" ht="8" customHeight="1">
      <c r="A4" s="9" t="inlineStr"/>
      <c r="B4" s="8" t="inlineStr"/>
    </row>
    <row r="5" ht="34" customHeight="1">
      <c r="A5" s="7" t="inlineStr">
        <is>
          <t>Column</t>
        </is>
      </c>
      <c r="B5" s="8" t="inlineStr">
        <is>
          <t>Meaning</t>
        </is>
      </c>
    </row>
    <row r="6" ht="34" customHeight="1">
      <c r="A6" s="9" t="inlineStr">
        <is>
          <t>Test Case ID</t>
        </is>
      </c>
      <c r="B6" s="8" t="inlineStr">
        <is>
          <t>Unique, sequential, never reused (TC-001, TC-002, ...). Referenced from bug reports and traceability matrices.</t>
        </is>
      </c>
    </row>
    <row r="7" ht="34" customHeight="1">
      <c r="A7" s="9" t="inlineStr">
        <is>
          <t>Module / Feature</t>
        </is>
      </c>
      <c r="B7" s="8" t="inlineStr">
        <is>
          <t>Which part of the product this covers (Alerts, SOAR, Rules, Auth, ...).</t>
        </is>
      </c>
    </row>
    <row r="8" ht="34" customHeight="1">
      <c r="A8" s="9" t="inlineStr">
        <is>
          <t>Test Scenario</t>
        </is>
      </c>
      <c r="B8" s="8" t="inlineStr">
        <is>
          <t>The high-level behavior under test — one scenario can have several test cases (happy path, edge case, negative case).</t>
        </is>
      </c>
    </row>
    <row r="9" ht="34" customHeight="1">
      <c r="A9" s="9" t="inlineStr">
        <is>
          <t>Test Case Title</t>
        </is>
      </c>
      <c r="B9" s="8" t="inlineStr">
        <is>
          <t>Short, specific, searchable name for this exact case.</t>
        </is>
      </c>
    </row>
    <row r="10" ht="34" customHeight="1">
      <c r="A10" s="9" t="inlineStr">
        <is>
          <t>Description</t>
        </is>
      </c>
      <c r="B10" s="8" t="inlineStr">
        <is>
          <t>What is being verified and why it matters.</t>
        </is>
      </c>
    </row>
    <row r="11" ht="34" customHeight="1">
      <c r="A11" s="9" t="inlineStr">
        <is>
          <t>Preconditions</t>
        </is>
      </c>
      <c r="B11" s="8" t="inlineStr">
        <is>
          <t>State that must exist before running this case (login, data seeded, etc.).</t>
        </is>
      </c>
    </row>
    <row r="12" ht="34" customHeight="1">
      <c r="A12" s="9" t="inlineStr">
        <is>
          <t>Test Steps / Script</t>
        </is>
      </c>
      <c r="B12" s="8" t="inlineStr">
        <is>
          <t>Numbered, reproducible steps — or an actual script/command block when the case is automatable (curl, API call, CLI command).</t>
        </is>
      </c>
    </row>
    <row r="13" ht="34" customHeight="1">
      <c r="A13" s="9" t="inlineStr">
        <is>
          <t>Test Data</t>
        </is>
      </c>
      <c r="B13" s="8" t="inlineStr">
        <is>
          <t>Concrete inputs used for this run (specific IP, payload, username, etc.).</t>
        </is>
      </c>
    </row>
    <row r="14" ht="34" customHeight="1">
      <c r="A14" s="9" t="inlineStr">
        <is>
          <t>Expected Result</t>
        </is>
      </c>
      <c r="B14" s="8" t="inlineStr">
        <is>
          <t>What should happen if the feature works correctly.</t>
        </is>
      </c>
    </row>
    <row r="15" ht="34" customHeight="1">
      <c r="A15" s="9" t="inlineStr">
        <is>
          <t>Actual Result</t>
        </is>
      </c>
      <c r="B15" s="8" t="inlineStr">
        <is>
          <t>What actually happened — filled in during execution, not in advance.</t>
        </is>
      </c>
    </row>
    <row r="16" ht="34" customHeight="1">
      <c r="A16" s="9" t="inlineStr">
        <is>
          <t>Status</t>
        </is>
      </c>
      <c r="B16" s="8" t="inlineStr">
        <is>
          <t>Passed / Failed / Blocked / Not Executed. Blocked = couldn't run (e.g. dependency broken or feature not built yet), distinct from Failed.</t>
        </is>
      </c>
    </row>
    <row r="17" ht="34" customHeight="1">
      <c r="A17" s="9" t="inlineStr">
        <is>
          <t>Priority</t>
        </is>
      </c>
      <c r="B17" s="8" t="inlineStr">
        <is>
          <t>Critical / High / Medium / Low — drives what gets fixed/retested first.</t>
        </is>
      </c>
    </row>
    <row r="18" ht="34" customHeight="1">
      <c r="A18" s="9" t="inlineStr">
        <is>
          <t>Executed By</t>
        </is>
      </c>
      <c r="B18" s="8" t="inlineStr">
        <is>
          <t>Tester name — accountability + who to ask about the result.</t>
        </is>
      </c>
    </row>
    <row r="19" ht="34" customHeight="1">
      <c r="A19" s="9" t="inlineStr">
        <is>
          <t>Execution Date</t>
        </is>
      </c>
      <c r="B19" s="8" t="inlineStr">
        <is>
          <t>When the case was actually run (not authored).</t>
        </is>
      </c>
    </row>
    <row r="20" ht="34" customHeight="1">
      <c r="A20" s="9" t="inlineStr">
        <is>
          <t>Defect ID / Remarks</t>
        </is>
      </c>
      <c r="B20" s="8" t="inlineStr">
        <is>
          <t>Link/ID to the bug tracker entry if Failed, or free-text notes.</t>
        </is>
      </c>
    </row>
    <row r="21" ht="8" customHeight="1">
      <c r="A21" s="9" t="inlineStr"/>
      <c r="B21" s="8" t="inlineStr"/>
    </row>
    <row r="22" ht="34" customHeight="1">
      <c r="A22" s="7" t="inlineStr">
        <is>
          <t>Workflow</t>
        </is>
      </c>
      <c r="B22" s="8" t="inlineStr">
        <is>
      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2026-09-09T04:25:22Z</dcterms:created>
  <dcterms:modified xsi:type="dcterms:W3CDTF">2026-09-09T04:32:52Z</dcterms:modified>
</cp:coreProperties>
</file>