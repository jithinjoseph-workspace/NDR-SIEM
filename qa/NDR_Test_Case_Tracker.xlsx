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DRSiem\qa\"/>
    </mc:Choice>
  </mc:AlternateContent>
  <xr:revisionPtr revIDLastSave="0" documentId="13_ncr:1_{9B662605-D8BE-42FA-ADB1-6A14DDCE33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" r:id="rId1"/>
    <sheet name="Test Cases" sheetId="2" r:id="rId2"/>
    <sheet name="Legend &amp; Format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8" i="1" s="1"/>
</calcChain>
</file>

<file path=xl/sharedStrings.xml><?xml version="1.0" encoding="utf-8"?>
<sst xmlns="http://schemas.openxmlformats.org/spreadsheetml/2006/main" count="336" uniqueCount="259">
  <si>
    <t>NDR Test Execution Summary</t>
  </si>
  <si>
    <t>Total Test Cases</t>
  </si>
  <si>
    <t>Passed</t>
  </si>
  <si>
    <t>Failed</t>
  </si>
  <si>
    <t>Blocked</t>
  </si>
  <si>
    <t>Not Executed</t>
  </si>
  <si>
    <t>Pass Rate</t>
  </si>
  <si>
    <t>Tip: this sheet updates automatically as you fill in Status on the Test Cases tab.</t>
  </si>
  <si>
    <t>Test Case ID</t>
  </si>
  <si>
    <t>Module / Feature</t>
  </si>
  <si>
    <t>Test Scenario</t>
  </si>
  <si>
    <t>Test Case Title</t>
  </si>
  <si>
    <t>Description</t>
  </si>
  <si>
    <t>Preconditions</t>
  </si>
  <si>
    <t>Test Steps / Script</t>
  </si>
  <si>
    <t>Test Data</t>
  </si>
  <si>
    <t>Expected Result</t>
  </si>
  <si>
    <t>Actual Result</t>
  </si>
  <si>
    <t>Status</t>
  </si>
  <si>
    <t>Priority</t>
  </si>
  <si>
    <t>Executed By</t>
  </si>
  <si>
    <t>Execution Date</t>
  </si>
  <si>
    <t>Defect ID / Remarks</t>
  </si>
  <si>
    <t>TC-001</t>
  </si>
  <si>
    <t>Threat Map</t>
  </si>
  <si>
    <t>Self-generated DNS lookup alert</t>
  </si>
  <si>
    <t>ip-api.com geo-lookup no longer triggers Suricata ET INFO alert</t>
  </si>
  <si>
    <t>Verify the Attack Intelligence Map widget uses local GeoLite2 DB instead of calling out to ip-api.com, so the engine doesn't flag its own traffic.</t>
  </si>
  <si>
    <t>ndr-engine deployed with GeoLite2-City.mmdb present at data/</t>
  </si>
  <si>
    <t>1. Open Dashboard &gt; Attack Intelligence Map widget
2. Capture network traffic from the ndr-engine host during widget load
3. Inspect DNS queries made by the engine process</t>
  </si>
  <si>
    <t>N/A (passive observation)</t>
  </si>
  <si>
    <t>No DNS query for ip-api.com is made; geo data still renders correctly</t>
  </si>
  <si>
    <t>High</t>
  </si>
  <si>
    <t>TC-002</t>
  </si>
  <si>
    <t>Evidence Bundles</t>
  </si>
  <si>
    <t>Rule-name attribution fallback</t>
  </si>
  <si>
    <t>Fallback rule name reflects actual detecting agent (Agent-S vs Agent-Z)</t>
  </si>
  <si>
    <t>When the real Suricata signature can't be recovered, the evidence bundle must not default to a generic 'Suricata IDS Alert' label regardless of which engine (Suricata/Agent-S or Zeek+Sigma/Agent-Z) produced the hit.</t>
  </si>
  <si>
    <t>An ndr_hits row exists with empty sigma_hits and no matching ndr_events alert row</t>
  </si>
  <si>
    <t>1. Open Evidence &amp; Forensics for a bundle tagged AGENT-Z ONLY
2. Check the 'Rules Fired' / attack summary section
3. Confirm label is NOT 'Suricata IDS Alert'</t>
  </si>
  <si>
    <t>community_id of a Zeek-only correlated hit</t>
  </si>
  <si>
    <t>Label reads 'Agent-Z Sigma Match (rule name unavailable)' or the real rule name</t>
  </si>
  <si>
    <t>Medium</t>
  </si>
  <si>
    <t>TC-003</t>
  </si>
  <si>
    <t>SOAR / Response</t>
  </si>
  <si>
    <t>Isolate action reports correct status</t>
  </si>
  <si>
    <t>Successful device isolation shows 'isolated' in UI, not 'Failed'</t>
  </si>
  <si>
    <t>isolate_device_handler must return status:'ok' on success so the Angular isolateIp() success check (res.status === 'ok') actually fires.</t>
  </si>
  <si>
    <t>A valid internal LAN IP is available as isolation target; sensor agent reachable</t>
  </si>
  <si>
    <t>1. Open Alerts &gt; Attack Stories &gt; expand an incident
2. Click 'Isolate' on the internal (LAN) node
3. Observe the result banner under the diagram</t>
  </si>
  <si>
    <t>target_ip = internal LAN IP (e.g. 192.168.1.x), enforcement=arp</t>
  </si>
  <si>
    <t>Banner shows '&lt;ip&gt; isolated' (green), not 'Failed'</t>
  </si>
  <si>
    <t>Critical</t>
  </si>
  <si>
    <t>TC-004</t>
  </si>
  <si>
    <t>Isolated state persists across reload</t>
  </si>
  <si>
    <t>Node still shows 'Isolated' after a full page refresh</t>
  </si>
  <si>
    <t>Isolation state must be read back from the device_isolations table on load, not just held in the browser session.</t>
  </si>
  <si>
    <t>TC-003 has passed at least once for a given target IP</t>
  </si>
  <si>
    <t>1. Isolate a host per TC-003
2. Refresh the browser (F5)
3. Re-open the same incident's Attack Path</t>
  </si>
  <si>
    <t>Same target_ip isolated in TC-003</t>
  </si>
  <si>
    <t>Node shows the 'Isolated' badge, Isolate button is hidden, no re-prompt to isolate</t>
  </si>
  <si>
    <t>TC-005</t>
  </si>
  <si>
    <t>Rules Page</t>
  </si>
  <si>
    <t>Rule list loads paginated, not all at once</t>
  </si>
  <si>
    <t>Initial load fetches ~20 rules; 'Load More' appends the next batch</t>
  </si>
  <si>
    <t>Verify GET /api/rules?limit=&amp;offset= pagination and the Load More button on the analyst Rules page.</t>
  </si>
  <si>
    <t>Tenant has 1000+ SIGMA rules loaded</t>
  </si>
  <si>
    <t>1. Open Rules page, open browser DevTools &gt; Network
2. Confirm first /api/rules request includes limit=20&amp;offset=0
3. Click 'Load More' and confirm a second request with offset=20</t>
  </si>
  <si>
    <t>N/A</t>
  </si>
  <si>
    <t>Rule list grows by pageSize per click; 'Total Rules' tile still shows the true total</t>
  </si>
  <si>
    <t>Low</t>
  </si>
  <si>
    <t>TC-006</t>
  </si>
  <si>
    <t>Search falls back to full DB when not loaded</t>
  </si>
  <si>
    <t>Searching a rule not in the first page still finds it (or reports absence)</t>
  </si>
  <si>
    <t>Typed search first checks loaded rules client-side; if no match, it must query GET /api/rules?q= to check the complete rule set before saying 'not found'.</t>
  </si>
  <si>
    <t>A known rule name exists beyond the first loaded page (e.g. rule #500)</t>
  </si>
  <si>
    <t>1. Open Rules page (only first ~20 rules loaded)
2. Type the name of a rule known to exist further down the list
3. Observe result after debounce</t>
  </si>
  <si>
    <t>Rule title not present in the first 20 rows</t>
  </si>
  <si>
    <t>Matching rule appears (fetched via DB fallback); searching a nonexistent name shows 'No rule matching "..." exists'</t>
  </si>
  <si>
    <t>TC-007</t>
  </si>
  <si>
    <t>Auth / Access Control</t>
  </si>
  <si>
    <t>Tenant admin cannot reset super_admin password</t>
  </si>
  <si>
    <t>IDOR check: tenant_admin scoped to own-tenant, non-admin targets only</t>
  </si>
  <si>
    <t>POST /api/auth/users/:id/password, /status, /permissions and DELETE must validate the TARGET user's role/tenant, not just the caller's role.</t>
  </si>
  <si>
    <t>A tenant_admin account and a super_admin account (different tenant) both exist</t>
  </si>
  <si>
    <t>1. Log in as tenant_admin
2. Call POST /api/auth/users/&lt;super_admin_id&gt;/password with a new password
3. Also try DELETE on a user in a different tenant</t>
  </si>
  <si>
    <t>target = super_admin user id from another tenant</t>
  </si>
  <si>
    <t>Request is rejected with 403 Forbidden in all cases</t>
  </si>
  <si>
    <t>TC-008</t>
  </si>
  <si>
    <t>Auth / MFA</t>
  </si>
  <si>
    <t>MFA verify endpoint code validation</t>
  </si>
  <si>
    <t>/api/auth/mfa/verify rejects an incorrect TOTP code</t>
  </si>
  <si>
    <t>Known gap as of this test cycle: no per-user TOTP secret is stored and the code is never checked — expected to FAIL until MFA is actually implemented.</t>
  </si>
  <si>
    <t>N/A — documents a known incomplete feature</t>
  </si>
  <si>
    <t>1. POST to /api/auth/mfa/verify with a deliberately wrong 6-digit code
2. Observe response</t>
  </si>
  <si>
    <t>code = '000000' (wrong)</t>
  </si>
  <si>
    <t>Request should be rejected (expected). Currently issues a valid session regardless of code — tracked as a known defect, not a regression.</t>
  </si>
  <si>
    <t>See conversation notes — MFA enrollment not built yet</t>
  </si>
  <si>
    <t>TC-009</t>
  </si>
  <si>
    <t>Auth / Super Admin</t>
  </si>
  <si>
    <t>Super Admin login with valid credentials</t>
  </si>
  <si>
    <t>Super Admin can log in successfully with valid username and password</t>
  </si>
  <si>
    <t>Verify that a super_admin account can authenticate via the login endpoint and receives a valid session token with super_admin privileges.</t>
  </si>
  <si>
    <t>A super_admin account exists in the system; the auth-service is running</t>
  </si>
  <si>
    <t>1. Navigate to the login page (or POST /api/auth/login)
2. Enter valid super_admin credentials
3. Observe the response / redirect</t>
  </si>
  <si>
    <t>super_admin username and password</t>
  </si>
  <si>
    <t>Login succeeds; JWT token contains role='super_admin'; user is redirected to the admin dashboard</t>
  </si>
  <si>
    <t>TC-010</t>
  </si>
  <si>
    <t>Super Admin login with invalid credentials</t>
  </si>
  <si>
    <t>Login attempt with wrong password is rejected with 401</t>
  </si>
  <si>
    <t>Verify that the system does not grant access when a super_admin provides an incorrect password — brute-force guard baseline.</t>
  </si>
  <si>
    <t>A super_admin account exists; auth-service is running</t>
  </si>
  <si>
    <t>1. POST /api/auth/login with correct username but wrong password
2. Observe HTTP status code and response body</t>
  </si>
  <si>
    <t>username=super_admin, password='WrongPass123!'</t>
  </si>
  <si>
    <t>HTTP 401 Unauthorized is returned; no session token is issued; error message does not reveal whether the username exists</t>
  </si>
  <si>
    <t>TC-011</t>
  </si>
  <si>
    <t>Tenant Management</t>
  </si>
  <si>
    <t>Super Admin creates a new tenant</t>
  </si>
  <si>
    <t>Super Admin can create a new tenant organisation via the admin API</t>
  </si>
  <si>
    <t>Verify POST /api/admin/tenants creates a tenant record, provisions the required default roles, and returns the new tenant ID.</t>
  </si>
  <si>
    <t>Authenticated as super_admin; no tenant with the test name already exists</t>
  </si>
  <si>
    <t>1. POST /api/admin/tenants with {name, domain, plan}
2. Confirm HTTP 201 response with new tenant_id
3. GET /api/admin/tenants/:id and verify the record</t>
  </si>
  <si>
    <t>name='TestOrg-QA', domain='testorg-qa.local', plan='enterprise'</t>
  </si>
  <si>
    <t>HTTP 201; tenant record exists; default roles (tenant_admin, analyst) are provisioned for the new tenant</t>
  </si>
  <si>
    <t>TC-012</t>
  </si>
  <si>
    <t>Super Admin deactivates an existing tenant</t>
  </si>
  <si>
    <t>Deactivated tenant users cannot log in</t>
  </si>
  <si>
    <t>Verify that PATCH /api/admin/tenants/:id with status='inactive' blocks all users under that tenant from authenticating.</t>
  </si>
  <si>
    <t>A test tenant with at least one active user exists</t>
  </si>
  <si>
    <t>1. PATCH /api/admin/tenants/:id {status: 'inactive'} as super_admin
2. Attempt login as a user belonging to that tenant
3. Observe the login response</t>
  </si>
  <si>
    <t>tenant_id of the test tenant; a valid user credential under that tenant</t>
  </si>
  <si>
    <t>Tenant status becomes 'inactive'; tenant user login returns HTTP 403 with message indicating account/org is suspended</t>
  </si>
  <si>
    <t>TC-013</t>
  </si>
  <si>
    <t>Super Admin views all tenants' data</t>
  </si>
  <si>
    <t>GET /api/admin/tenants returns records for every tenant in the system</t>
  </si>
  <si>
    <t>Verify that super_admin can retrieve a cross-tenant list — a privilege that must not be accessible to tenant_admin or analyst roles.</t>
  </si>
  <si>
    <t>At least 2 tenants exist; authenticated as super_admin</t>
  </si>
  <si>
    <t>1. GET /api/admin/tenants (as super_admin)
2. Check the response contains tenants from multiple organisations
3. Repeat the same call authenticated as tenant_admin and confirm 403</t>
  </si>
  <si>
    <t>Super Admin: HTTP 200, list contains all tenants. Tenant Admin: HTTP 403 Forbidden</t>
  </si>
  <si>
    <t>TC-014</t>
  </si>
  <si>
    <t>User Management</t>
  </si>
  <si>
    <t>Super Admin creates a tenant_admin user</t>
  </si>
  <si>
    <t>Super Admin can provision a tenant_admin account for any tenant</t>
  </si>
  <si>
    <t>Verify POST /api/auth/users creates a user with role='tenant_admin' scoped to a specified tenant, and that the user can subsequently log in.</t>
  </si>
  <si>
    <t>Target tenant exists; authenticated as super_admin</t>
  </si>
  <si>
    <t>1. POST /api/auth/users {username, password, role:'tenant_admin', tenant_id}
2. Confirm HTTP 201
3. Log in as the new tenant_admin and verify role in JWT</t>
  </si>
  <si>
    <t>tenant_id of target org; new username='qa_tenant_admin'</t>
  </si>
  <si>
    <t>User created (HTTP 201); new user can log in; JWT role='tenant_admin'; user cannot access other tenants' data</t>
  </si>
  <si>
    <t>TC-015</t>
  </si>
  <si>
    <t>Super Admin resets any tenant user password</t>
  </si>
  <si>
    <t>Super Admin can reset the password of a tenant_admin or analyst user</t>
  </si>
  <si>
    <t>Verify POST /api/auth/users/:id/password succeeds when called by super_admin for any non-super_admin target user.</t>
  </si>
  <si>
    <t>A target tenant user account exists; authenticated as super_admin</t>
  </si>
  <si>
    <t>1. POST /api/auth/users/:id/password {new_password} as super_admin
2. Confirm HTTP 200
3. Log in as the target user with the new password</t>
  </si>
  <si>
    <t>target user_id (tenant_admin or analyst role)</t>
  </si>
  <si>
    <t>HTTP 200; old password no longer works; new password authenticates successfully</t>
  </si>
  <si>
    <t>TC-016</t>
  </si>
  <si>
    <t>Audit &amp; Compliance</t>
  </si>
  <si>
    <t>Super Admin views system-wide audit logs</t>
  </si>
  <si>
    <t>GET /api/admin/audit-logs returns events across all tenants</t>
  </si>
  <si>
    <t>Verify that super_admin can query audit logs spanning all tenants, and that a tenant_admin can only see logs for their own tenant.</t>
  </si>
  <si>
    <t>Audit log entries exist for at least 2 different tenants</t>
  </si>
  <si>
    <t>1. GET /api/admin/audit-logs (as super_admin) — confirm multi-tenant results
2. GET /api/admin/audit-logs (as tenant_admin) — confirm scoped results only
3. Filter by tenant_id as super_admin and verify narrowing works</t>
  </si>
  <si>
    <t>Super Admin sees logs from all tenants. Tenant Admin sees only their own tenant's logs. Filter by tenant_id works correctly.</t>
  </si>
  <si>
    <t>TC-017</t>
  </si>
  <si>
    <t>System Configuration</t>
  </si>
  <si>
    <t>Super Admin updates global system settings</t>
  </si>
  <si>
    <t>Super Admin can modify global config (e.g. session timeout, log retention)</t>
  </si>
  <si>
    <t>Verify PUT /api/admin/config accepts and persists global settings and that the change takes effect without requiring a service restart.</t>
  </si>
  <si>
    <t>Authenticated as super_admin; admin config endpoint is available</t>
  </si>
  <si>
    <t>1. GET /api/admin/config and note current session_timeout value
2. PUT /api/admin/config {session_timeout: 30} as super_admin
3. GET /api/admin/config again and confirm the updated value
4. Log in as any user and verify session expires after ~30 min</t>
  </si>
  <si>
    <t>session_timeout = 30 (minutes)</t>
  </si>
  <si>
    <t>HTTP 200 on PUT; GET reflects new value; user sessions honour the updated timeout</t>
  </si>
  <si>
    <t>TC-018</t>
  </si>
  <si>
    <t>Super Admin session auto-expires after inactivity</t>
  </si>
  <si>
    <t>Super Admin JWT is invalidated after the configured idle timeout</t>
  </si>
  <si>
    <t>Verify that an inactive super_admin session does not remain valid indefinitely — critical to prevent privilege persistence if a session is hijacked or left unattended.</t>
  </si>
  <si>
    <t>super_admin is logged in; session timeout is configured (e.g. 30 min)</t>
  </si>
  <si>
    <t>1. Log in as super_admin and obtain a session token
2. Wait for the configured idle timeout period without any activity
3. Attempt to call a protected endpoint using the old token
4. Observe the response</t>
  </si>
  <si>
    <t>Idle period = configured timeout value; token from step 1</t>
  </si>
  <si>
    <t>HTTP 401 Unauthorized is returned after timeout; re-authentication is required to continue</t>
  </si>
  <si>
    <t>TC-019</t>
  </si>
  <si>
    <t>Super Admin permanently deletes a tenant</t>
  </si>
  <si>
    <t>DELETE /api/admin/tenants/:id removes the tenant and all its users</t>
  </si>
  <si>
    <t>Verify that a super_admin can hard-delete a tenant organisation, which must cascade-remove all users, roles, and data belonging to that tenant, and that any active sessions of those users are immediately invalidated.</t>
  </si>
  <si>
    <t>A disposable test tenant with at least one user and active session exists; authenticated as super_admin</t>
  </si>
  <si>
    <t>1. Note the tenant_id and one of its user session tokens
2. DELETE /api/admin/tenants/:id as super_admin
3. Confirm HTTP 200/204 response
4. GET /api/admin/tenants/:id — confirm 404
5. Attempt an API call using the deleted tenant user's session token</t>
  </si>
  <si>
    <t>tenant_id of the disposable test tenant</t>
  </si>
  <si>
    <t>HTTP 200/204 on delete; tenant returns 404; all tenant users are removed; existing session tokens for those users return 401 Unauthorized</t>
  </si>
  <si>
    <t>TC-020</t>
  </si>
  <si>
    <t>Super Admin force-revokes all sessions of a user</t>
  </si>
  <si>
    <t>POST /api/admin/users/:id/revoke-sessions invalidates every active token</t>
  </si>
  <si>
    <t>Verify that super_admin can force-logout any user across all devices by revoking their active sessions — critical for incident response when an account is suspected to be compromised.</t>
  </si>
  <si>
    <t>Target user is logged in on at least one device (active JWT exists); authenticated as super_admin</t>
  </si>
  <si>
    <t>1. Obtain a valid session token for the target user
2. POST /api/admin/users/:id/revoke-sessions as super_admin
3. Confirm HTTP 200
4. Attempt an API call using the old target-user token</t>
  </si>
  <si>
    <t>target user_id; existing JWT of that user</t>
  </si>
  <si>
    <t>HTTP 200 on revoke; subsequent API calls with the old token return 401 Unauthorized; user must re-authenticate to continue</t>
  </si>
  <si>
    <t>TC-021</t>
  </si>
  <si>
    <t>Super Admin enables a feature flag for a specific tenant</t>
  </si>
  <si>
    <t>PATCH /api/admin/tenants/:id/features toggles a feature on/off per tenant</t>
  </si>
  <si>
    <t>Verify that super_admin can enable or disable a named feature flag (e.g. 'advanced_threat_map') for one tenant without affecting others — confirming per-tenant feature gating works correctly.</t>
  </si>
  <si>
    <t>At least 2 tenants exist; 'advanced_threat_map' feature flag is available; authenticated as super_admin</t>
  </si>
  <si>
    <t>1. PATCH /api/admin/tenants/:id/features {feature:'advanced_threat_map', enabled:true}
2. Log in as a user of that tenant — confirm the feature is visible/accessible
3. Log in as a user of a DIFFERENT tenant — confirm the feature is NOT visible</t>
  </si>
  <si>
    <t>tenant_id of target tenant; feature='advanced_threat_map'</t>
  </si>
  <si>
    <t>Feature is enabled only for the target tenant; other tenants are unaffected; the UI reflects the flag correctly for each tenant</t>
  </si>
  <si>
    <t>TC-022</t>
  </si>
  <si>
    <t>Super Admin exports full audit log as CSV/JSON</t>
  </si>
  <si>
    <t>GET /api/admin/audit-logs/export downloads a complete cross-tenant log file</t>
  </si>
  <si>
    <t>Verify that super_admin can trigger a bulk export of the audit log spanning all tenants within a specified date range, and that the exported file is complete and correctly formatted.</t>
  </si>
  <si>
    <t>Audit log entries exist across multiple tenants; authenticated as super_admin</t>
  </si>
  <si>
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</si>
  <si>
    <t>from=2026-01-01, to=2026-09-09, format=csv</t>
  </si>
  <si>
    <t>HTTP 200; file downloads successfully; records span multiple tenants; entries outside the date range are excluded</t>
  </si>
  <si>
    <t>TC-023</t>
  </si>
  <si>
    <t>Super Admin assigns super_admin role to another user</t>
  </si>
  <si>
    <t>Promoting a user to super_admin grants full system-wide privileges</t>
  </si>
  <si>
    <t>Verify that a super_admin can elevate an existing user to the super_admin role via PATCH /api/auth/users/:id/role, and that the promoted user immediately gains full cross-tenant access without needing to re-login.</t>
  </si>
  <si>
    <t>A target user with a lower role (e.g. tenant_admin) exists; authenticated as super_admin</t>
  </si>
  <si>
    <t>1. PATCH /api/auth/users/:id/role {role:'super_admin'} as super_admin
2. Confirm HTTP 200
3. Using the target user's existing session, call GET /api/admin/tenants
4. Confirm the response now returns all tenants</t>
  </si>
  <si>
    <t>target user_id (currently tenant_admin); new role='super_admin'</t>
  </si>
  <si>
    <t>HTTP 200; target user's existing session reflects new role; GET /api/admin/tenants returns all tenants for that user</t>
  </si>
  <si>
    <t>TC-024</t>
  </si>
  <si>
    <t>System Monitoring</t>
  </si>
  <si>
    <t>Super Admin views real-time system health dashboard</t>
  </si>
  <si>
    <t>GET /api/admin/health returns live metrics for all services</t>
  </si>
  <si>
    <t>Verify that super_admin can access a system health endpoint that reports live status of all core services (ndr-engine, auth-service, database, message queue) and that tenant_admin is denied access.</t>
  </si>
  <si>
    <t>All core services are running; authenticated as super_admin</t>
  </si>
  <si>
    <t>1. GET /api/admin/health as super_admin
2. Confirm HTTP 200 and response includes status for each service
3. Check for fields: service name, status (up/down), latency, uptime
4. Repeat request as tenant_admin and confirm 403</t>
  </si>
  <si>
    <t>Super Admin: HTTP 200 with per-service health data. Tenant Admin: HTTP 403 Forbidden. All running services report status='up'</t>
  </si>
  <si>
    <t>TC-025</t>
  </si>
  <si>
    <t>Super Admin enforces concurrent session limit per user</t>
  </si>
  <si>
    <t>Oldest session is invalidated when a user exceeds the max concurrent sessions</t>
  </si>
  <si>
    <t>Verify that when a user logs in beyond the configured max_concurrent_sessions limit (set by super_admin via global config), the oldest session is automatically revoked — preventing credential sharing.</t>
  </si>
  <si>
    <t>max_concurrent_sessions is set to 2 via global config (TC-017 pattern); a test user account exists</t>
  </si>
  <si>
    <t>1. Log in as the test user on Device A — obtain Token-A
2. Log in as the same user on Device B — obtain Token-B
3. Log in as the same user on Device C — obtain Token-C
4. Attempt an API call using Token-A</t>
  </si>
  <si>
    <t>max_concurrent_sessions=2; same user credentials on 3 devices</t>
  </si>
  <si>
    <t>Token-C is issued successfully; Token-A (oldest) is invalidated and returns 401 on subsequent use; Token-B remains valid</t>
  </si>
  <si>
    <t>Test Case Tracker — Format Guide</t>
  </si>
  <si>
    <t>Standard followed</t>
  </si>
  <si>
    <t>ISTQB / IEEE 829 style test case specification — the same shape used by TestRail, Zephyr, qTest, and most enterprise QA teams.</t>
  </si>
  <si>
    <t>Column</t>
  </si>
  <si>
    <t>Meaning</t>
  </si>
  <si>
    <t>Unique, sequential, never reused (TC-001, TC-002, ...). Referenced from bug reports and traceability matrices.</t>
  </si>
  <si>
    <t>Which part of the product this covers (Alerts, SOAR, Rules, Auth, ...).</t>
  </si>
  <si>
    <t>The high-level behavior under test — one scenario can have several test cases (happy path, edge case, negative case).</t>
  </si>
  <si>
    <t>Short, specific, searchable name for this exact case.</t>
  </si>
  <si>
    <t>What is being verified and why it matters.</t>
  </si>
  <si>
    <t>State that must exist before running this case (login, data seeded, etc.).</t>
  </si>
  <si>
    <t>Numbered, reproducible steps — or an actual script/command block when the case is automatable (curl, API call, CLI command).</t>
  </si>
  <si>
    <t>Concrete inputs used for this run (specific IP, payload, username, etc.).</t>
  </si>
  <si>
    <t>What should happen if the feature works correctly.</t>
  </si>
  <si>
    <t>What actually happened — filled in during execution, not in advance.</t>
  </si>
  <si>
    <t>Passed / Failed / Blocked / Not Executed. Blocked = couldn't run (e.g. dependency broken or feature not built yet), distinct from Failed.</t>
  </si>
  <si>
    <t>Critical / High / Medium / Low — drives what gets fixed/retested first.</t>
  </si>
  <si>
    <t>Tester name — accountability + who to ask about the result.</t>
  </si>
  <si>
    <t>When the case was actually run (not authored).</t>
  </si>
  <si>
    <t>Link/ID to the bug tracker entry if Failed, or free-text notes.</t>
  </si>
  <si>
    <t>Workflow</t>
  </si>
  <si>
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</si>
</sst>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1F4E78"/>
      <name val="Calibri"/>
    </font>
    <font>
      <b/>
      <sz val="11"/>
      <name val="Calibri"/>
    </font>
    <font>
      <sz val="11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>
      <selection sqref="A1:B1"/>
    </sheetView>
  </sheetViews>
  <sheetFormatPr defaultRowHeight="14.5"/>
  <cols>
    <col min="1" max="1" width="22" customWidth="1"/>
    <col min="2" max="2" width="14" customWidth="1"/>
  </cols>
  <sheetData>
    <row r="1" spans="1:4" ht="18.5">
      <c r="A1" s="10" t="s">
        <v>0</v>
      </c>
      <c r="B1" s="9"/>
    </row>
    <row r="3" spans="1:4">
      <c r="A3" s="1" t="s">
        <v>1</v>
      </c>
      <c r="B3">
        <f>COUNTA('Test Cases'!A2:A1000)-COUNTBLANK('Test Cases'!A2:A1000)</f>
        <v>-949</v>
      </c>
    </row>
    <row r="4" spans="1:4">
      <c r="A4" s="1" t="s">
        <v>2</v>
      </c>
      <c r="B4">
        <f>COUNTIF('Test Cases'!K2:K1000,"Passed")</f>
        <v>7</v>
      </c>
    </row>
    <row r="5" spans="1:4">
      <c r="A5" s="1" t="s">
        <v>3</v>
      </c>
      <c r="B5">
        <f>COUNTIF('Test Cases'!K2:K1000,"Failed")</f>
        <v>0</v>
      </c>
    </row>
    <row r="6" spans="1:4">
      <c r="A6" s="1" t="s">
        <v>4</v>
      </c>
      <c r="B6">
        <f>COUNTIF('Test Cases'!K2:K1000,"Blocked")</f>
        <v>1</v>
      </c>
    </row>
    <row r="7" spans="1:4">
      <c r="A7" s="1" t="s">
        <v>5</v>
      </c>
      <c r="B7">
        <f>COUNTIF('Test Cases'!K2:K1000,"Not Executed")</f>
        <v>17</v>
      </c>
    </row>
    <row r="8" spans="1:4">
      <c r="A8" s="1" t="s">
        <v>6</v>
      </c>
      <c r="B8" s="2" t="str">
        <f>IFERROR(B3/B2,"n/a")</f>
        <v>n/a</v>
      </c>
    </row>
    <row r="10" spans="1:4">
      <c r="A10" s="8" t="s">
        <v>7</v>
      </c>
      <c r="B10" s="9"/>
      <c r="C10" s="9"/>
      <c r="D10" s="9"/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topLeftCell="F1" workbookViewId="0">
      <pane ySplit="1" topLeftCell="A23" activePane="bottomLeft" state="frozen"/>
      <selection pane="bottomLeft" activeCell="F41" sqref="F41"/>
    </sheetView>
  </sheetViews>
  <sheetFormatPr defaultRowHeight="14.5"/>
  <cols>
    <col min="1" max="1" width="12" customWidth="1"/>
    <col min="2" max="2" width="18" customWidth="1"/>
    <col min="3" max="3" width="22" customWidth="1"/>
    <col min="4" max="4" width="26" customWidth="1"/>
    <col min="5" max="5" width="34" customWidth="1"/>
    <col min="6" max="6" width="24" customWidth="1"/>
    <col min="7" max="7" width="42" customWidth="1"/>
    <col min="8" max="8" width="22" customWidth="1"/>
    <col min="9" max="10" width="32" customWidth="1"/>
    <col min="11" max="11" width="12" customWidth="1"/>
    <col min="12" max="12" width="10" customWidth="1"/>
    <col min="13" max="14" width="14" customWidth="1"/>
    <col min="15" max="15" width="22" customWidth="1"/>
  </cols>
  <sheetData>
    <row r="1" spans="1:15" ht="30" customHeight="1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</row>
    <row r="2" spans="1:15" ht="60" customHeight="1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/>
      <c r="K2" s="4" t="s">
        <v>5</v>
      </c>
      <c r="L2" s="4" t="s">
        <v>32</v>
      </c>
      <c r="M2" s="4"/>
      <c r="N2" s="4"/>
      <c r="O2" s="4"/>
    </row>
    <row r="3" spans="1:15" ht="60" customHeight="1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4" t="s">
        <v>39</v>
      </c>
      <c r="H3" s="4" t="s">
        <v>40</v>
      </c>
      <c r="I3" s="4" t="s">
        <v>41</v>
      </c>
      <c r="J3" s="4"/>
      <c r="K3" s="4" t="s">
        <v>5</v>
      </c>
      <c r="L3" s="4" t="s">
        <v>42</v>
      </c>
      <c r="M3" s="4"/>
      <c r="N3" s="4"/>
      <c r="O3" s="4"/>
    </row>
    <row r="4" spans="1:15" ht="60" customHeight="1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48</v>
      </c>
      <c r="G4" s="4" t="s">
        <v>49</v>
      </c>
      <c r="H4" s="4" t="s">
        <v>50</v>
      </c>
      <c r="I4" s="4" t="s">
        <v>51</v>
      </c>
      <c r="J4" s="4"/>
      <c r="K4" s="4" t="s">
        <v>5</v>
      </c>
      <c r="L4" s="4" t="s">
        <v>52</v>
      </c>
      <c r="M4" s="4"/>
      <c r="N4" s="4"/>
      <c r="O4" s="4"/>
    </row>
    <row r="5" spans="1:15" ht="60" customHeight="1">
      <c r="A5" s="4" t="s">
        <v>53</v>
      </c>
      <c r="B5" s="4" t="s">
        <v>44</v>
      </c>
      <c r="C5" s="4" t="s">
        <v>54</v>
      </c>
      <c r="D5" s="4" t="s">
        <v>55</v>
      </c>
      <c r="E5" s="4" t="s">
        <v>56</v>
      </c>
      <c r="F5" s="4" t="s">
        <v>57</v>
      </c>
      <c r="G5" s="4" t="s">
        <v>58</v>
      </c>
      <c r="H5" s="4" t="s">
        <v>59</v>
      </c>
      <c r="I5" s="4" t="s">
        <v>60</v>
      </c>
      <c r="J5" s="4"/>
      <c r="K5" s="4" t="s">
        <v>5</v>
      </c>
      <c r="L5" s="4" t="s">
        <v>42</v>
      </c>
      <c r="M5" s="4"/>
      <c r="N5" s="4"/>
      <c r="O5" s="4"/>
    </row>
    <row r="6" spans="1:15" ht="60" customHeight="1">
      <c r="A6" s="4" t="s">
        <v>61</v>
      </c>
      <c r="B6" s="4" t="s">
        <v>62</v>
      </c>
      <c r="C6" s="4" t="s">
        <v>63</v>
      </c>
      <c r="D6" s="4" t="s">
        <v>64</v>
      </c>
      <c r="E6" s="4" t="s">
        <v>65</v>
      </c>
      <c r="F6" s="4" t="s">
        <v>66</v>
      </c>
      <c r="G6" s="4" t="s">
        <v>67</v>
      </c>
      <c r="H6" s="4" t="s">
        <v>68</v>
      </c>
      <c r="I6" s="4" t="s">
        <v>69</v>
      </c>
      <c r="J6" s="4"/>
      <c r="K6" s="4" t="s">
        <v>5</v>
      </c>
      <c r="L6" s="4" t="s">
        <v>70</v>
      </c>
      <c r="M6" s="4"/>
      <c r="N6" s="4"/>
      <c r="O6" s="4"/>
    </row>
    <row r="7" spans="1:15" ht="60" customHeight="1">
      <c r="A7" s="4" t="s">
        <v>71</v>
      </c>
      <c r="B7" s="4" t="s">
        <v>62</v>
      </c>
      <c r="C7" s="4" t="s">
        <v>72</v>
      </c>
      <c r="D7" s="4" t="s">
        <v>73</v>
      </c>
      <c r="E7" s="4" t="s">
        <v>74</v>
      </c>
      <c r="F7" s="4" t="s">
        <v>75</v>
      </c>
      <c r="G7" s="4" t="s">
        <v>76</v>
      </c>
      <c r="H7" s="4" t="s">
        <v>77</v>
      </c>
      <c r="I7" s="4" t="s">
        <v>78</v>
      </c>
      <c r="J7" s="4"/>
      <c r="K7" s="4" t="s">
        <v>5</v>
      </c>
      <c r="L7" s="4" t="s">
        <v>42</v>
      </c>
      <c r="M7" s="4"/>
      <c r="N7" s="4"/>
      <c r="O7" s="4"/>
    </row>
    <row r="8" spans="1:15" ht="60" customHeight="1">
      <c r="A8" s="4" t="s">
        <v>79</v>
      </c>
      <c r="B8" s="4" t="s">
        <v>80</v>
      </c>
      <c r="C8" s="4" t="s">
        <v>81</v>
      </c>
      <c r="D8" s="4" t="s">
        <v>82</v>
      </c>
      <c r="E8" s="4" t="s">
        <v>83</v>
      </c>
      <c r="F8" s="4" t="s">
        <v>84</v>
      </c>
      <c r="G8" s="4" t="s">
        <v>85</v>
      </c>
      <c r="H8" s="4" t="s">
        <v>86</v>
      </c>
      <c r="I8" s="4" t="s">
        <v>87</v>
      </c>
      <c r="J8" s="4"/>
      <c r="K8" s="4" t="s">
        <v>5</v>
      </c>
      <c r="L8" s="4" t="s">
        <v>52</v>
      </c>
      <c r="M8" s="4"/>
      <c r="N8" s="4"/>
      <c r="O8" s="4"/>
    </row>
    <row r="9" spans="1:15" ht="60" customHeight="1">
      <c r="A9" s="4" t="s">
        <v>88</v>
      </c>
      <c r="B9" s="4" t="s">
        <v>89</v>
      </c>
      <c r="C9" s="4" t="s">
        <v>90</v>
      </c>
      <c r="D9" s="4" t="s">
        <v>91</v>
      </c>
      <c r="E9" s="4" t="s">
        <v>92</v>
      </c>
      <c r="F9" s="4" t="s">
        <v>93</v>
      </c>
      <c r="G9" s="4" t="s">
        <v>94</v>
      </c>
      <c r="H9" s="4" t="s">
        <v>95</v>
      </c>
      <c r="I9" s="4" t="s">
        <v>96</v>
      </c>
      <c r="J9" s="4"/>
      <c r="K9" s="4" t="s">
        <v>4</v>
      </c>
      <c r="L9" s="4" t="s">
        <v>32</v>
      </c>
      <c r="M9" s="4"/>
      <c r="N9" s="4"/>
      <c r="O9" s="4" t="s">
        <v>97</v>
      </c>
    </row>
    <row r="10" spans="1:15" ht="60" customHeight="1">
      <c r="A10" s="4" t="s">
        <v>98</v>
      </c>
      <c r="B10" s="4" t="s">
        <v>99</v>
      </c>
      <c r="C10" s="4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106</v>
      </c>
      <c r="J10" s="4"/>
      <c r="K10" s="4" t="s">
        <v>2</v>
      </c>
      <c r="L10" s="4" t="s">
        <v>52</v>
      </c>
      <c r="M10" s="4"/>
      <c r="N10" s="4"/>
      <c r="O10" s="4"/>
    </row>
    <row r="11" spans="1:15" ht="60" customHeight="1">
      <c r="A11" s="4" t="s">
        <v>107</v>
      </c>
      <c r="B11" s="4" t="s">
        <v>99</v>
      </c>
      <c r="C11" s="4" t="s">
        <v>108</v>
      </c>
      <c r="D11" s="4" t="s">
        <v>109</v>
      </c>
      <c r="E11" s="4" t="s">
        <v>110</v>
      </c>
      <c r="F11" s="4" t="s">
        <v>111</v>
      </c>
      <c r="G11" s="4" t="s">
        <v>112</v>
      </c>
      <c r="H11" s="4" t="s">
        <v>113</v>
      </c>
      <c r="I11" s="4" t="s">
        <v>114</v>
      </c>
      <c r="J11" s="4"/>
      <c r="K11" s="4" t="s">
        <v>2</v>
      </c>
      <c r="L11" s="4" t="s">
        <v>52</v>
      </c>
      <c r="M11" s="4"/>
      <c r="N11" s="4"/>
      <c r="O11" s="4"/>
    </row>
    <row r="12" spans="1:15" ht="60" customHeight="1">
      <c r="A12" s="4" t="s">
        <v>115</v>
      </c>
      <c r="B12" s="4" t="s">
        <v>116</v>
      </c>
      <c r="C12" s="4" t="s">
        <v>117</v>
      </c>
      <c r="D12" s="4" t="s">
        <v>118</v>
      </c>
      <c r="E12" s="4" t="s">
        <v>119</v>
      </c>
      <c r="F12" s="4" t="s">
        <v>120</v>
      </c>
      <c r="G12" s="4" t="s">
        <v>121</v>
      </c>
      <c r="H12" s="4" t="s">
        <v>122</v>
      </c>
      <c r="I12" s="4" t="s">
        <v>123</v>
      </c>
      <c r="J12" s="4"/>
      <c r="K12" s="4" t="s">
        <v>2</v>
      </c>
      <c r="L12" s="4" t="s">
        <v>32</v>
      </c>
      <c r="M12" s="4"/>
      <c r="N12" s="4"/>
      <c r="O12" s="4"/>
    </row>
    <row r="13" spans="1:15" ht="60" customHeight="1">
      <c r="A13" s="4" t="s">
        <v>124</v>
      </c>
      <c r="B13" s="4" t="s">
        <v>116</v>
      </c>
      <c r="C13" s="4" t="s">
        <v>125</v>
      </c>
      <c r="D13" s="4" t="s">
        <v>126</v>
      </c>
      <c r="E13" s="4" t="s">
        <v>127</v>
      </c>
      <c r="F13" s="4" t="s">
        <v>128</v>
      </c>
      <c r="G13" s="4" t="s">
        <v>129</v>
      </c>
      <c r="H13" s="4" t="s">
        <v>130</v>
      </c>
      <c r="I13" s="4" t="s">
        <v>131</v>
      </c>
      <c r="J13" s="4"/>
      <c r="K13" s="4" t="s">
        <v>2</v>
      </c>
      <c r="L13" s="4" t="s">
        <v>32</v>
      </c>
      <c r="M13" s="4"/>
      <c r="N13" s="4"/>
      <c r="O13" s="4"/>
    </row>
    <row r="14" spans="1:15" ht="60" customHeight="1">
      <c r="A14" s="4" t="s">
        <v>132</v>
      </c>
      <c r="B14" s="4" t="s">
        <v>116</v>
      </c>
      <c r="C14" s="4" t="s">
        <v>133</v>
      </c>
      <c r="D14" s="4" t="s">
        <v>134</v>
      </c>
      <c r="E14" s="4" t="s">
        <v>135</v>
      </c>
      <c r="F14" s="4" t="s">
        <v>136</v>
      </c>
      <c r="G14" s="4" t="s">
        <v>137</v>
      </c>
      <c r="H14" s="4" t="s">
        <v>68</v>
      </c>
      <c r="I14" s="4" t="s">
        <v>138</v>
      </c>
      <c r="J14" s="4"/>
      <c r="K14" s="4" t="s">
        <v>2</v>
      </c>
      <c r="L14" s="4" t="s">
        <v>32</v>
      </c>
      <c r="M14" s="4"/>
      <c r="N14" s="4"/>
      <c r="O14" s="4"/>
    </row>
    <row r="15" spans="1:15" ht="60" customHeight="1">
      <c r="A15" s="4" t="s">
        <v>139</v>
      </c>
      <c r="B15" s="4" t="s">
        <v>140</v>
      </c>
      <c r="C15" s="4" t="s">
        <v>141</v>
      </c>
      <c r="D15" s="4" t="s">
        <v>142</v>
      </c>
      <c r="E15" s="4" t="s">
        <v>143</v>
      </c>
      <c r="F15" s="4" t="s">
        <v>144</v>
      </c>
      <c r="G15" s="4" t="s">
        <v>145</v>
      </c>
      <c r="H15" s="4" t="s">
        <v>146</v>
      </c>
      <c r="I15" s="4" t="s">
        <v>147</v>
      </c>
      <c r="J15" s="4"/>
      <c r="K15" s="4" t="s">
        <v>2</v>
      </c>
      <c r="L15" s="4" t="s">
        <v>32</v>
      </c>
      <c r="M15" s="4"/>
      <c r="N15" s="4"/>
      <c r="O15" s="4"/>
    </row>
    <row r="16" spans="1:15" ht="60" customHeight="1">
      <c r="A16" s="4" t="s">
        <v>148</v>
      </c>
      <c r="B16" s="4" t="s">
        <v>140</v>
      </c>
      <c r="C16" s="4" t="s">
        <v>149</v>
      </c>
      <c r="D16" s="4" t="s">
        <v>150</v>
      </c>
      <c r="E16" s="4" t="s">
        <v>151</v>
      </c>
      <c r="F16" s="4" t="s">
        <v>152</v>
      </c>
      <c r="G16" s="4" t="s">
        <v>153</v>
      </c>
      <c r="H16" s="4" t="s">
        <v>154</v>
      </c>
      <c r="I16" s="4" t="s">
        <v>155</v>
      </c>
      <c r="J16" s="4"/>
      <c r="K16" s="4" t="s">
        <v>2</v>
      </c>
      <c r="L16" s="4" t="s">
        <v>42</v>
      </c>
      <c r="M16" s="4"/>
      <c r="N16" s="4"/>
      <c r="O16" s="4"/>
    </row>
    <row r="17" spans="1:15" ht="60" customHeight="1">
      <c r="A17" s="4" t="s">
        <v>156</v>
      </c>
      <c r="B17" s="4" t="s">
        <v>157</v>
      </c>
      <c r="C17" s="4" t="s">
        <v>158</v>
      </c>
      <c r="D17" s="4" t="s">
        <v>159</v>
      </c>
      <c r="E17" s="4" t="s">
        <v>160</v>
      </c>
      <c r="F17" s="4" t="s">
        <v>161</v>
      </c>
      <c r="G17" s="4" t="s">
        <v>162</v>
      </c>
      <c r="H17" s="4" t="s">
        <v>68</v>
      </c>
      <c r="I17" s="4" t="s">
        <v>163</v>
      </c>
      <c r="J17" s="4"/>
      <c r="K17" s="4" t="s">
        <v>5</v>
      </c>
      <c r="L17" s="4" t="s">
        <v>42</v>
      </c>
      <c r="M17" s="4"/>
      <c r="N17" s="4"/>
      <c r="O17" s="4"/>
    </row>
    <row r="18" spans="1:15" ht="60" customHeight="1">
      <c r="A18" s="4" t="s">
        <v>164</v>
      </c>
      <c r="B18" s="4" t="s">
        <v>165</v>
      </c>
      <c r="C18" s="4" t="s">
        <v>166</v>
      </c>
      <c r="D18" s="4" t="s">
        <v>167</v>
      </c>
      <c r="E18" s="4" t="s">
        <v>168</v>
      </c>
      <c r="F18" s="4" t="s">
        <v>169</v>
      </c>
      <c r="G18" s="4" t="s">
        <v>170</v>
      </c>
      <c r="H18" s="4" t="s">
        <v>171</v>
      </c>
      <c r="I18" s="4" t="s">
        <v>172</v>
      </c>
      <c r="J18" s="4"/>
      <c r="K18" s="4" t="s">
        <v>5</v>
      </c>
      <c r="L18" s="4" t="s">
        <v>42</v>
      </c>
      <c r="M18" s="4"/>
      <c r="N18" s="4"/>
      <c r="O18" s="4"/>
    </row>
    <row r="19" spans="1:15" ht="60" customHeight="1">
      <c r="A19" s="4" t="s">
        <v>173</v>
      </c>
      <c r="B19" s="4" t="s">
        <v>80</v>
      </c>
      <c r="C19" s="4" t="s">
        <v>174</v>
      </c>
      <c r="D19" s="4" t="s">
        <v>175</v>
      </c>
      <c r="E19" s="4" t="s">
        <v>176</v>
      </c>
      <c r="F19" s="4" t="s">
        <v>177</v>
      </c>
      <c r="G19" s="4" t="s">
        <v>178</v>
      </c>
      <c r="H19" s="4" t="s">
        <v>179</v>
      </c>
      <c r="I19" s="4" t="s">
        <v>180</v>
      </c>
      <c r="J19" s="4"/>
      <c r="K19" s="4" t="s">
        <v>5</v>
      </c>
      <c r="L19" s="4" t="s">
        <v>32</v>
      </c>
      <c r="M19" s="4"/>
      <c r="N19" s="4"/>
      <c r="O19" s="4"/>
    </row>
    <row r="20" spans="1:15" ht="60" customHeight="1">
      <c r="A20" s="4" t="s">
        <v>181</v>
      </c>
      <c r="B20" s="4" t="s">
        <v>116</v>
      </c>
      <c r="C20" s="4" t="s">
        <v>182</v>
      </c>
      <c r="D20" s="4" t="s">
        <v>183</v>
      </c>
      <c r="E20" s="4" t="s">
        <v>184</v>
      </c>
      <c r="F20" s="4" t="s">
        <v>185</v>
      </c>
      <c r="G20" s="4" t="s">
        <v>186</v>
      </c>
      <c r="H20" s="4" t="s">
        <v>187</v>
      </c>
      <c r="I20" s="4" t="s">
        <v>188</v>
      </c>
      <c r="J20" s="4"/>
      <c r="K20" s="4" t="s">
        <v>5</v>
      </c>
      <c r="L20" s="4" t="s">
        <v>52</v>
      </c>
      <c r="M20" s="4"/>
      <c r="N20" s="4"/>
      <c r="O20" s="4"/>
    </row>
    <row r="21" spans="1:15" ht="60" customHeight="1">
      <c r="A21" s="4" t="s">
        <v>189</v>
      </c>
      <c r="B21" s="4" t="s">
        <v>140</v>
      </c>
      <c r="C21" s="4" t="s">
        <v>190</v>
      </c>
      <c r="D21" s="4" t="s">
        <v>191</v>
      </c>
      <c r="E21" s="4" t="s">
        <v>192</v>
      </c>
      <c r="F21" s="4" t="s">
        <v>193</v>
      </c>
      <c r="G21" s="4" t="s">
        <v>194</v>
      </c>
      <c r="H21" s="4" t="s">
        <v>195</v>
      </c>
      <c r="I21" s="4" t="s">
        <v>196</v>
      </c>
      <c r="J21" s="4"/>
      <c r="K21" s="4" t="s">
        <v>5</v>
      </c>
      <c r="L21" s="4" t="s">
        <v>52</v>
      </c>
      <c r="M21" s="4"/>
      <c r="N21" s="4"/>
      <c r="O21" s="4"/>
    </row>
    <row r="22" spans="1:15" ht="60" customHeight="1">
      <c r="A22" s="4" t="s">
        <v>197</v>
      </c>
      <c r="B22" s="4" t="s">
        <v>116</v>
      </c>
      <c r="C22" s="4" t="s">
        <v>198</v>
      </c>
      <c r="D22" s="4" t="s">
        <v>199</v>
      </c>
      <c r="E22" s="4" t="s">
        <v>200</v>
      </c>
      <c r="F22" s="4" t="s">
        <v>201</v>
      </c>
      <c r="G22" s="4" t="s">
        <v>202</v>
      </c>
      <c r="H22" s="4" t="s">
        <v>203</v>
      </c>
      <c r="I22" s="4" t="s">
        <v>204</v>
      </c>
      <c r="J22" s="4"/>
      <c r="K22" s="4" t="s">
        <v>5</v>
      </c>
      <c r="L22" s="4" t="s">
        <v>32</v>
      </c>
      <c r="M22" s="4"/>
      <c r="N22" s="4"/>
      <c r="O22" s="4"/>
    </row>
    <row r="23" spans="1:15" ht="60" customHeight="1">
      <c r="A23" s="4" t="s">
        <v>205</v>
      </c>
      <c r="B23" s="4" t="s">
        <v>157</v>
      </c>
      <c r="C23" s="4" t="s">
        <v>206</v>
      </c>
      <c r="D23" s="4" t="s">
        <v>207</v>
      </c>
      <c r="E23" s="4" t="s">
        <v>208</v>
      </c>
      <c r="F23" s="4" t="s">
        <v>209</v>
      </c>
      <c r="G23" s="4" t="s">
        <v>210</v>
      </c>
      <c r="H23" s="4" t="s">
        <v>211</v>
      </c>
      <c r="I23" s="4" t="s">
        <v>212</v>
      </c>
      <c r="J23" s="4"/>
      <c r="K23" s="4" t="s">
        <v>5</v>
      </c>
      <c r="L23" s="4" t="s">
        <v>32</v>
      </c>
      <c r="M23" s="4"/>
      <c r="N23" s="4"/>
      <c r="O23" s="4"/>
    </row>
    <row r="24" spans="1:15" ht="60" customHeight="1">
      <c r="A24" s="4" t="s">
        <v>213</v>
      </c>
      <c r="B24" s="4" t="s">
        <v>165</v>
      </c>
      <c r="C24" s="4" t="s">
        <v>214</v>
      </c>
      <c r="D24" s="4" t="s">
        <v>215</v>
      </c>
      <c r="E24" s="4" t="s">
        <v>216</v>
      </c>
      <c r="F24" s="4" t="s">
        <v>217</v>
      </c>
      <c r="G24" s="4" t="s">
        <v>218</v>
      </c>
      <c r="H24" s="4" t="s">
        <v>219</v>
      </c>
      <c r="I24" s="4" t="s">
        <v>220</v>
      </c>
      <c r="J24" s="4"/>
      <c r="K24" s="4" t="s">
        <v>5</v>
      </c>
      <c r="L24" s="4" t="s">
        <v>52</v>
      </c>
      <c r="M24" s="4"/>
      <c r="N24" s="4"/>
      <c r="O24" s="4"/>
    </row>
    <row r="25" spans="1:15" ht="60" customHeight="1">
      <c r="A25" s="4" t="s">
        <v>221</v>
      </c>
      <c r="B25" s="4" t="s">
        <v>222</v>
      </c>
      <c r="C25" s="4" t="s">
        <v>223</v>
      </c>
      <c r="D25" s="4" t="s">
        <v>224</v>
      </c>
      <c r="E25" s="4" t="s">
        <v>225</v>
      </c>
      <c r="F25" s="4" t="s">
        <v>226</v>
      </c>
      <c r="G25" s="4" t="s">
        <v>227</v>
      </c>
      <c r="H25" s="4" t="s">
        <v>68</v>
      </c>
      <c r="I25" s="4" t="s">
        <v>228</v>
      </c>
      <c r="J25" s="4"/>
      <c r="K25" s="4" t="s">
        <v>5</v>
      </c>
      <c r="L25" s="4" t="s">
        <v>42</v>
      </c>
      <c r="M25" s="4"/>
      <c r="N25" s="4"/>
      <c r="O25" s="4"/>
    </row>
    <row r="26" spans="1:15" ht="60" customHeight="1">
      <c r="A26" s="4" t="s">
        <v>229</v>
      </c>
      <c r="B26" s="4" t="s">
        <v>80</v>
      </c>
      <c r="C26" s="4" t="s">
        <v>230</v>
      </c>
      <c r="D26" s="4" t="s">
        <v>231</v>
      </c>
      <c r="E26" s="4" t="s">
        <v>232</v>
      </c>
      <c r="F26" s="4" t="s">
        <v>233</v>
      </c>
      <c r="G26" s="4" t="s">
        <v>234</v>
      </c>
      <c r="H26" s="4" t="s">
        <v>235</v>
      </c>
      <c r="I26" s="4" t="s">
        <v>236</v>
      </c>
      <c r="J26" s="4"/>
      <c r="K26" s="4" t="s">
        <v>5</v>
      </c>
      <c r="L26" s="4" t="s">
        <v>32</v>
      </c>
      <c r="M26" s="4"/>
      <c r="N26" s="4"/>
      <c r="O26" s="4"/>
    </row>
  </sheetData>
  <conditionalFormatting sqref="K2:K500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"Blocked"</formula>
    </cfRule>
    <cfRule type="cellIs" dxfId="0" priority="4" operator="equal">
      <formula>"Not Executed"</formula>
    </cfRule>
  </conditionalFormatting>
  <dataValidations count="2">
    <dataValidation type="list" allowBlank="1" sqref="K2:K500" xr:uid="{00000000-0002-0000-0100-000000000000}">
      <formula1>"Passed,Failed,Blocked,Not Executed"</formula1>
    </dataValidation>
    <dataValidation type="list" allowBlank="1" sqref="L2:L500" xr:uid="{00000000-0002-0000-0100-000001000000}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5"/>
  <cols>
    <col min="1" max="1" width="26" customWidth="1"/>
    <col min="2" max="2" width="90" customWidth="1"/>
  </cols>
  <sheetData>
    <row r="1" spans="1:2" ht="18.5">
      <c r="A1" s="10" t="s">
        <v>237</v>
      </c>
      <c r="B1" s="9"/>
    </row>
    <row r="3" spans="1:2" ht="34" customHeight="1">
      <c r="A3" s="5" t="s">
        <v>238</v>
      </c>
      <c r="B3" s="6" t="s">
        <v>239</v>
      </c>
    </row>
    <row r="4" spans="1:2" ht="8" customHeight="1">
      <c r="A4" s="7"/>
      <c r="B4" s="6"/>
    </row>
    <row r="5" spans="1:2" ht="34" customHeight="1">
      <c r="A5" s="5" t="s">
        <v>240</v>
      </c>
      <c r="B5" s="6" t="s">
        <v>241</v>
      </c>
    </row>
    <row r="6" spans="1:2" ht="34" customHeight="1">
      <c r="A6" s="7" t="s">
        <v>8</v>
      </c>
      <c r="B6" s="6" t="s">
        <v>242</v>
      </c>
    </row>
    <row r="7" spans="1:2" ht="34" customHeight="1">
      <c r="A7" s="7" t="s">
        <v>9</v>
      </c>
      <c r="B7" s="6" t="s">
        <v>243</v>
      </c>
    </row>
    <row r="8" spans="1:2" ht="34" customHeight="1">
      <c r="A8" s="7" t="s">
        <v>10</v>
      </c>
      <c r="B8" s="6" t="s">
        <v>244</v>
      </c>
    </row>
    <row r="9" spans="1:2" ht="34" customHeight="1">
      <c r="A9" s="7" t="s">
        <v>11</v>
      </c>
      <c r="B9" s="6" t="s">
        <v>245</v>
      </c>
    </row>
    <row r="10" spans="1:2" ht="34" customHeight="1">
      <c r="A10" s="7" t="s">
        <v>12</v>
      </c>
      <c r="B10" s="6" t="s">
        <v>246</v>
      </c>
    </row>
    <row r="11" spans="1:2" ht="34" customHeight="1">
      <c r="A11" s="7" t="s">
        <v>13</v>
      </c>
      <c r="B11" s="6" t="s">
        <v>247</v>
      </c>
    </row>
    <row r="12" spans="1:2" ht="34" customHeight="1">
      <c r="A12" s="7" t="s">
        <v>14</v>
      </c>
      <c r="B12" s="6" t="s">
        <v>248</v>
      </c>
    </row>
    <row r="13" spans="1:2" ht="34" customHeight="1">
      <c r="A13" s="7" t="s">
        <v>15</v>
      </c>
      <c r="B13" s="6" t="s">
        <v>249</v>
      </c>
    </row>
    <row r="14" spans="1:2" ht="34" customHeight="1">
      <c r="A14" s="7" t="s">
        <v>16</v>
      </c>
      <c r="B14" s="6" t="s">
        <v>250</v>
      </c>
    </row>
    <row r="15" spans="1:2" ht="34" customHeight="1">
      <c r="A15" s="7" t="s">
        <v>17</v>
      </c>
      <c r="B15" s="6" t="s">
        <v>251</v>
      </c>
    </row>
    <row r="16" spans="1:2" ht="34" customHeight="1">
      <c r="A16" s="7" t="s">
        <v>18</v>
      </c>
      <c r="B16" s="6" t="s">
        <v>252</v>
      </c>
    </row>
    <row r="17" spans="1:2" ht="34" customHeight="1">
      <c r="A17" s="7" t="s">
        <v>19</v>
      </c>
      <c r="B17" s="6" t="s">
        <v>253</v>
      </c>
    </row>
    <row r="18" spans="1:2" ht="34" customHeight="1">
      <c r="A18" s="7" t="s">
        <v>20</v>
      </c>
      <c r="B18" s="6" t="s">
        <v>254</v>
      </c>
    </row>
    <row r="19" spans="1:2" ht="34" customHeight="1">
      <c r="A19" s="7" t="s">
        <v>21</v>
      </c>
      <c r="B19" s="6" t="s">
        <v>255</v>
      </c>
    </row>
    <row r="20" spans="1:2" ht="34" customHeight="1">
      <c r="A20" s="7" t="s">
        <v>22</v>
      </c>
      <c r="B20" s="6" t="s">
        <v>256</v>
      </c>
    </row>
    <row r="21" spans="1:2" ht="8" customHeight="1">
      <c r="A21" s="7"/>
      <c r="B21" s="6"/>
    </row>
    <row r="22" spans="1:2" ht="34" customHeight="1">
      <c r="A22" s="5" t="s">
        <v>257</v>
      </c>
      <c r="B22" s="6" t="s">
        <v>258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Legend &amp; Format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Libin  Mani</cp:lastModifiedBy>
  <dcterms:created xsi:type="dcterms:W3CDTF">2026-09-09T05:57:59Z</dcterms:created>
  <dcterms:modified xsi:type="dcterms:W3CDTF">2026-09-10T09:06:57Z</dcterms:modified>
</cp:coreProperties>
</file>